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hange Rate" sheetId="1" state="visible" r:id="rId3"/>
    <sheet name="1. Anime Figures" sheetId="2" state="visible" r:id="rId4"/>
    <sheet name="2. Mercari and Online store" sheetId="3" state="visible" r:id="rId5"/>
    <sheet name="3. Onhand orders JPY" sheetId="4" state="visible" r:id="rId6"/>
    <sheet name="4. Live Selling Orders" sheetId="5" state="visible" r:id="rId7"/>
    <sheet name="5. On hand orders PHP" sheetId="6" state="visible" r:id="rId8"/>
    <sheet name="6. Pre Orders" sheetId="7" state="visible" r:id="rId9"/>
    <sheet name="7. Overseas orders" sheetId="8" state="visible" r:id="rId10"/>
    <sheet name="8. Overall Expense Sheet" sheetId="9" state="visible" r:id="rId11"/>
    <sheet name="9. Overall Analytics" sheetId="10" state="visible" r:id="rId12"/>
    <sheet name="10. Restock" sheetId="11" state="visible" r:id="rId13"/>
    <sheet name="11. VBA and setup guid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<sst xmlns="http://schemas.openxmlformats.org/spreadsheetml/2006/main" count="1339" uniqueCount="307">
  <si>
    <t xml:space="preserve">KEN JP ANIME FIGURES SHOP — EXCHANGE RATE REGISTRY</t>
  </si>
  <si>
    <t xml:space="preserve">PHP → JPY BASE RATE</t>
  </si>
  <si>
    <t xml:space="preserve">JPY → PHP BASE RATE</t>
  </si>
  <si>
    <t xml:space="preserve">1 PHP equals (JPY):</t>
  </si>
  <si>
    <t xml:space="preserve">1 JPY equals (PHP):</t>
  </si>
  <si>
    <t xml:space="preserve">  ▸ Used in Col G: Selling Price (JPY) = Col F × this rate</t>
  </si>
  <si>
    <t xml:space="preserve">  ▸ Used in Col E: Purchase Price (PHP) = Col D × this rate</t>
  </si>
  <si>
    <t xml:space="preserve">⚠️  HOW TO USE THIS SHEET — READ CAREFULLY</t>
  </si>
  <si>
    <t xml:space="preserve">  ▸ Edit ONLY the yellow cells: B5 (PHP→JPY) and E5 (JPY→PHP).</t>
  </si>
  <si>
    <t xml:space="preserve">  ▸ All 8 tracking sheets reference these cells directly via formula.</t>
  </si>
  <si>
    <t xml:space="preserve">  ▸ Changing a rate here instantly recalculates every currency conversion in the workbook.</t>
  </si>
  <si>
    <t xml:space="preserve">  ▸ Do NOT rename this sheet — it is referenced by the exact name 'Exchange Rate'.</t>
  </si>
  <si>
    <t xml:space="preserve">  ▸ Do NOT move B5 or E5 — all inventory formulas point to these locked absolute addresses.</t>
  </si>
  <si>
    <t xml:space="preserve">KEN JP ANIME FIGURES SHOP</t>
  </si>
  <si>
    <t xml:space="preserve">📦  1. ANIME FIGURES    |  Rates: 'Exchange Rate'!B5 (PHP→JPY) &amp; E5 (JPY→PHP)</t>
  </si>
  <si>
    <t xml:space="preserve">🔍  FUZZY SEARCH</t>
  </si>
  <si>
    <t xml:space="preserve">⬇ type partial name or ID:</t>
  </si>
  <si>
    <t xml:space="preserve">View match #:</t>
  </si>
  <si>
    <t xml:space="preserve">Product ID</t>
  </si>
  <si>
    <t xml:space="preserve">Date of Entry</t>
  </si>
  <si>
    <t xml:space="preserve">Transaction Month</t>
  </si>
  <si>
    <t xml:space="preserve">Purchase Price
(JPY)</t>
  </si>
  <si>
    <t xml:space="preserve">Purchase Price
(PHP)</t>
  </si>
  <si>
    <t xml:space="preserve">Selling Price
(PHP)</t>
  </si>
  <si>
    <t xml:space="preserve">Selling Price
(JPY)</t>
  </si>
  <si>
    <t xml:space="preserve">Net Profit
(JPY)</t>
  </si>
  <si>
    <t xml:space="preserve">Net Profit
(PHP)</t>
  </si>
  <si>
    <t xml:space="preserve">Net Loss
(JPY)</t>
  </si>
  <si>
    <t xml:space="preserve">Net Loss
(PHP)</t>
  </si>
  <si>
    <t xml:space="preserve">Stock Status</t>
  </si>
  <si>
    <t xml:space="preserve">SEARCH_KEY (hidden)</t>
  </si>
  <si>
    <t xml:space="preserve">Active</t>
  </si>
  <si>
    <t xml:space="preserve">TOTAL CATEGORY VALUE</t>
  </si>
  <si>
    <t xml:space="preserve">📋  USER GUIDE &amp; OPERATIONAL INSTRUCTIONS</t>
  </si>
  <si>
    <t xml:space="preserve">  Step 1 — DATA ENTRY</t>
  </si>
  <si>
    <t xml:space="preserve">     Input rows sequentially. Type directly into Col D (Purchase JPY) and Col F (Selling PHP) ONLY. All other columns auto-calculate. Yellow cells = manual entry. White cells = formulas.</t>
  </si>
  <si>
    <t xml:space="preserve">  Step 2 — DUPLICATE IDs</t>
  </si>
  <si>
    <t xml:space="preserve">     If tracking duplicate items, check the QUICK-VIEW bar (Row 5). A ⚠️ alert fires when the same Product ID appears more than once. Use the 'Date of Entry' (Col B) timestamp in the lookup to immediately distinguish which entry is which.</t>
  </si>
  <si>
    <t xml:space="preserve">  Step 3 — ANALYTICS FILTER</t>
  </si>
  <si>
    <t xml:space="preserve">     Toggle the Analytics view on the '9. Overall Analytics' sheet using the timeframe filter (D2) to review Weekly, Monthly, or Annual financial health variations.</t>
  </si>
  <si>
    <t xml:space="preserve">  Step 4 — EXCHANGE RATES</t>
  </si>
  <si>
    <t xml:space="preserve">     Never manually edit currency columns. To update rates, go to the 'Exchange Rate' sheet and edit ONLY cells B5 (PHP→JPY) or E5 (JPY→PHP). All values across the workbook update instantly.</t>
  </si>
  <si>
    <t xml:space="preserve">  Step 5 — STOCK STATUS</t>
  </si>
  <si>
    <t xml:space="preserve">     Use Column L dropdown (Active/Inactive) to toggle items. Inactive rows contribute ZERO to profit, loss, and analytics totals — ideal for recalled, damaged, or discontinued stock.</t>
  </si>
  <si>
    <t xml:space="preserve">📦  2. MERCARI AND ONLINE STORE    |  Rates: 'Exchange Rate'!B5 (PHP→JPY) &amp; E5 (JPY→PHP)</t>
  </si>
  <si>
    <t xml:space="preserve">Customer Name</t>
  </si>
  <si>
    <t xml:space="preserve">Purchase Link</t>
  </si>
  <si>
    <t xml:space="preserve">📦  3. ONHAND ORDERS JPY    |  Rates: 'Exchange Rate'!B5 (PHP→JPY) &amp; E5 (JPY→PHP)</t>
  </si>
  <si>
    <t xml:space="preserve">📦  4. LIVE SELLING ORDERS    |  Rates: 'Exchange Rate'!B5 (PHP→JPY) &amp; E5 (JPY→PHP)</t>
  </si>
  <si>
    <t xml:space="preserve">📦  5. ON HAND ORDERS PHP    |  Rates: 'Exchange Rate'!B5 (PHP→JPY) &amp; E5 (JPY→PHP)</t>
  </si>
  <si>
    <t xml:space="preserve">📦  6. PRE ORDERS    |  Rates: 'Exchange Rate'!B5 (PHP→JPY) &amp; E5 (JPY→PHP)</t>
  </si>
  <si>
    <t xml:space="preserve">📦  7. OVERSEAS ORDERS    |  Rates: 'Exchange Rate'!B5 (PHP→JPY) &amp; E5 (JPY→PHP)</t>
  </si>
  <si>
    <t xml:space="preserve">💰  OVERALL EXPENSE SHEET  |  Tracks all operational costs across all channels</t>
  </si>
  <si>
    <t xml:space="preserve">Expense ID</t>
  </si>
  <si>
    <t xml:space="preserve">Date</t>
  </si>
  <si>
    <t xml:space="preserve">Month</t>
  </si>
  <si>
    <t xml:space="preserve">Category</t>
  </si>
  <si>
    <t xml:space="preserve">Description</t>
  </si>
  <si>
    <t xml:space="preserve">Amount (JPY)</t>
  </si>
  <si>
    <t xml:space="preserve">Amount (PHP)</t>
  </si>
  <si>
    <t xml:space="preserve">Payment Method</t>
  </si>
  <si>
    <t xml:space="preserve">Status</t>
  </si>
  <si>
    <t xml:space="preserve">Notes</t>
  </si>
  <si>
    <t xml:space="preserve">TOTAL EXPENSES</t>
  </si>
  <si>
    <t xml:space="preserve">KEN JP ANIME FIGURES SHOP — EXECUTIVE ANALYTICS DASHBOARD</t>
  </si>
  <si>
    <t xml:space="preserve">📅  Analytics Reporting Month:</t>
  </si>
  <si>
    <t xml:space="preserve">Full Year Summary</t>
  </si>
  <si>
    <t xml:space="preserve">📊  Analytics Timeframe:</t>
  </si>
  <si>
    <t xml:space="preserve">Monthly View</t>
  </si>
  <si>
    <t xml:space="preserve">📊  CONSOLIDATED KPI MATRIX — SHEET-BY-SHEET PERFORMANCE (via INDIRECT)</t>
  </si>
  <si>
    <t xml:space="preserve">🎯  REAL-TIME BUSINESS INTELLIGENCE METRICS</t>
  </si>
  <si>
    <t xml:space="preserve">Sheet / Category</t>
  </si>
  <si>
    <t xml:space="preserve">Purchase Vol (JPY)</t>
  </si>
  <si>
    <t xml:space="preserve">Net Profit (JPY)</t>
  </si>
  <si>
    <t xml:space="preserve">Net Losses (JPY)</t>
  </si>
  <si>
    <t xml:space="preserve">CARD A — Overall Business Profit Margin (%)</t>
  </si>
  <si>
    <t xml:space="preserve">1. Anime Figures</t>
  </si>
  <si>
    <t xml:space="preserve">2. Mercari and Online store</t>
  </si>
  <si>
    <t xml:space="preserve">3. Onhand orders JPY</t>
  </si>
  <si>
    <t xml:space="preserve">4. Live Selling Orders</t>
  </si>
  <si>
    <t xml:space="preserve">Formula: Total Profit ÷ (Total Purchase + Total Profit)</t>
  </si>
  <si>
    <t xml:space="preserve">5. On hand orders PHP</t>
  </si>
  <si>
    <t xml:space="preserve">CARD B — Highest-Performing Category (by Net Profit)</t>
  </si>
  <si>
    <t xml:space="preserve">6. Pre Orders</t>
  </si>
  <si>
    <t xml:space="preserve">7. Overseas orders</t>
  </si>
  <si>
    <t xml:space="preserve">8. Overall Expense Sheet</t>
  </si>
  <si>
    <t xml:space="preserve">10. Restock</t>
  </si>
  <si>
    <t xml:space="preserve">Formula: INDEX/MATCH on MAX profit across all tracked categories</t>
  </si>
  <si>
    <t xml:space="preserve">GRAND TOTAL</t>
  </si>
  <si>
    <t xml:space="preserve">CARD C — Overall Net P&amp;L Position (JPY)</t>
  </si>
  <si>
    <t xml:space="preserve">📈  DYNAMIC CHART FEED TABLE — Drives Visual Below (Timeframe-Controlled via E2)</t>
  </si>
  <si>
    <t xml:space="preserve">Period Label</t>
  </si>
  <si>
    <t xml:space="preserve">Purchase Vol (JPY) ← Col D</t>
  </si>
  <si>
    <t xml:space="preserve">Net Profit (JPY) ← Col H</t>
  </si>
  <si>
    <t xml:space="preserve">Net Losses (JPY) ← Col J</t>
  </si>
  <si>
    <t xml:space="preserve">📊  CHART SETUP INSTRUCTIONS — Read Before Building</t>
  </si>
  <si>
    <t xml:space="preserve">  1. Select cells A20:D32 (Chart Feed Table — Period + 3 data series).</t>
  </si>
  <si>
    <t xml:space="preserve">  2. Go to Insert → Column Chart → Clustered Column.</t>
  </si>
  <si>
    <t xml:space="preserve">  3. Set 'Purchase Volume' bars to Cool Gray (#6C757D).</t>
  </si>
  <si>
    <t xml:space="preserve">  4. Set 'Net Profit' bars to Emerald Green (#28A745).</t>
  </si>
  <si>
    <t xml:space="preserve">  5. Set 'Net Losses' bars to Crimson Red (#DC3545).</t>
  </si>
  <si>
    <t xml:space="preserve">  6. Remove gridlines. Set chart title: 'Financial Performance &amp; Capital Allocation Analytics'.</t>
  </si>
  <si>
    <t xml:space="preserve">  7. When user changes E2 (Monthly/Weekly/Annual), Chart Feed cells recalculate — chart updates instantly.</t>
  </si>
  <si>
    <t xml:space="preserve">  ⚡  CHART AUTO-SYNC: The chart points to the fixed A20:D32 range. No data source changes needed.</t>
  </si>
  <si>
    <t xml:space="preserve">⚙️  VBA NOTE: Run the 'RefreshSheetNames()' macro from the VBA module to auto-populate Column A (rows 6-14) with the live sheet names. After running, INDIRECT formulas auto-adapt to any renamed or added sheets without manual updates.</t>
  </si>
  <si>
    <t xml:space="preserve">⚡  LIVE CHART: This chart is hardwired to the Chart Feed Table (rows 21–32). Any data change on any tracking sheet → SUMIFS recalculate → Chart redraws INSTANTLY. Changing B2 (month filter) or E2 (timeframe) pivots the chart in real time — no macro needed.</t>
  </si>
  <si>
    <t xml:space="preserve">📦  10. RESTOCK    |  Rates: 'Exchange Rate'!B5 (PHP→JPY) &amp; E5 (JPY→PHP)</t>
  </si>
  <si>
    <t xml:space="preserve">Current Stock</t>
  </si>
  <si>
    <t xml:space="preserve">Weekly Run Rate</t>
  </si>
  <si>
    <t xml:space="preserve">Weeks of Supply</t>
  </si>
  <si>
    <t xml:space="preserve">Reorder Date</t>
  </si>
  <si>
    <t xml:space="preserve">  Step 6 — RESTOCK RUNWAY (Cols O–R)</t>
  </si>
  <si>
    <t xml:space="preserve">     Enter current on-hand stock in Col O. The system auto-calculates Weekly Run Rate (Col P) by checking recent sales in the Mercari sheet. Weeks of Supply (Col Q) and Reorder Date (Col R) update automatically — no manual input required.</t>
  </si>
  <si>
    <t xml:space="preserve">KEN JP ANIME FIGURES SHOP — VBA MODULES &amp; SETUP GUIDE</t>
  </si>
  <si>
    <t xml:space="preserve">MODULE 1: SearchByProductName() — Universal Product Lookup Macro</t>
  </si>
  <si>
    <t xml:space="preserve">Copy the code below into the VBA Editor: Press Alt+F11 → Insert → Module → paste below:</t>
  </si>
  <si>
    <t xml:space="preserve">⚠️  CRITICAL: Save the workbook as .xlsm (Excel Macro-Enabled Workbook) to preserve all macros!</t>
  </si>
  <si>
    <t xml:space="preserve">Sub SearchByProductName()</t>
  </si>
  <si>
    <t xml:space="preserve">    '─────────────────────────────────────────────────────────────────────────────</t>
  </si>
  <si>
    <t xml:space="preserve">    ' KEN JP ANIME FIGURES SHOP — Universal Product Search v2.0</t>
  </si>
  <si>
    <t xml:space="preserve">    ' Searches Column A of the active sheet for an exact Product ID match</t>
  </si>
  <si>
    <t xml:space="preserve">    Dim searchID As String</t>
  </si>
  <si>
    <t xml:space="preserve">    Dim foundCell As Range, foundCell2 As Range</t>
  </si>
  <si>
    <t xml:space="preserve">    Dim ws As Worksheet</t>
  </si>
  <si>
    <t xml:space="preserve">    Dim dupCount As Long</t>
  </si>
  <si>
    <t xml:space="preserve">    </t>
  </si>
  <si>
    <t xml:space="preserve">    Set ws = ActiveSheet</t>
  </si>
  <si>
    <t xml:space="preserve">    ' ── Input Dialog ────────────────────────────────────────────────────────────</t>
  </si>
  <si>
    <t xml:space="preserve">    searchID = Application.InputBox( _</t>
  </si>
  <si>
    <t xml:space="preserve">        Prompt:="Enter Product ID to locate (e.g. AF001, MC042, RS018):", _</t>
  </si>
  <si>
    <t xml:space="preserve">        Title:="🔍 KEN JP Anime — Product Search", _</t>
  </si>
  <si>
    <t xml:space="preserve">        Type:=2)</t>
  </si>
  <si>
    <t xml:space="preserve">    If searchID = "" Or searchID = "False" Then</t>
  </si>
  <si>
    <t xml:space="preserve">        MsgBox "Search cancelled. No Product ID entered.", vbExclamation, "Cancelled"</t>
  </si>
  <si>
    <t xml:space="preserve">        Exit Sub</t>
  </si>
  <si>
    <t xml:space="preserve">    End If</t>
  </si>
  <si>
    <t xml:space="preserve">    ' ── Primary Search ──────────────────────────────────────────────────────────</t>
  </si>
  <si>
    <t xml:space="preserve">    Set foundCell = ws.Range("A8:A107").Find( _</t>
  </si>
  <si>
    <t xml:space="preserve">        What:=searchID, LookIn:=xlValues, LookAt:=xlWhole, MatchCase:=False)</t>
  </si>
  <si>
    <t xml:space="preserve">    If Not foundCell Is Nothing Then</t>
  </si>
  <si>
    <t xml:space="preserve">        dupCount = Application.WorksheetFunction.CountIf(ws.Range("A8:A107"), searchID)</t>
  </si>
  <si>
    <t xml:space="preserve">        Application.Goto Reference:=foundCell, Scroll:=True</t>
  </si>
  <si>
    <t xml:space="preserve">        foundCell.EntireRow.Select</t>
  </si>
  <si>
    <t xml:space="preserve">        If dupCount &gt; 1 Then</t>
  </si>
  <si>
    <t xml:space="preserve">            ' ── Duplicate Detection ─────────────────────────────────────────────</t>
  </si>
  <si>
    <t xml:space="preserve">            Dim msg As String</t>
  </si>
  <si>
    <t xml:space="preserve">            msg = "⚠️ DUPLICATE DETECTED!" &amp; Chr(10) &amp; Chr(10) &amp; _</t>
  </si>
  <si>
    <t xml:space="preserve">                  "Product ID: " &amp; searchID &amp; Chr(10) &amp; _</t>
  </si>
  <si>
    <t xml:space="preserve">                  "Copies found: " &amp; dupCount &amp; Chr(10) &amp; Chr(10) &amp; _</t>
  </si>
  <si>
    <t xml:space="preserve">                  "First occurrence: Row " &amp; foundCell.Row &amp; Chr(10) &amp; _</t>
  </si>
  <si>
    <t xml:space="preserve">                  "Use the Date of Entry (Col B) to distinguish entries." &amp; Chr(10) &amp; Chr(10) &amp; _</t>
  </si>
  <si>
    <t xml:space="preserve">                  "The first record has been selected and scrolled into view."</t>
  </si>
  <si>
    <t xml:space="preserve">            MsgBox msg, vbExclamation, "Multiple Records Found"</t>
  </si>
  <si>
    <t xml:space="preserve">        Else</t>
  </si>
  <si>
    <t xml:space="preserve">            MsgBox "✅ PRODUCT FOUND!" &amp; Chr(10) &amp; Chr(10) &amp; _</t>
  </si>
  <si>
    <t xml:space="preserve">                   "ID: " &amp; foundCell.Value &amp; "   |   Row: " &amp; foundCell.Row &amp; Chr(10) &amp; _</t>
  </si>
  <si>
    <t xml:space="preserve">                   "Row highlighted and scrolled into view.", _</t>
  </si>
  <si>
    <t xml:space="preserve">                   vbInformation, "Search Successful"</t>
  </si>
  <si>
    <t xml:space="preserve">        End If</t>
  </si>
  <si>
    <t xml:space="preserve">    Else</t>
  </si>
  <si>
    <t xml:space="preserve">        MsgBox "❌ PRODUCT NOT FOUND" &amp; Chr(10) &amp; Chr(10) &amp; _</t>
  </si>
  <si>
    <t xml:space="preserve">               "No match for: """ &amp; searchID &amp; """" &amp; Chr(10) &amp; _</t>
  </si>
  <si>
    <t xml:space="preserve">               "Please verify the ID and try again.", _</t>
  </si>
  <si>
    <t xml:space="preserve">               vbCritical, "Not Found"</t>
  </si>
  <si>
    <t xml:space="preserve">End Sub</t>
  </si>
  <si>
    <t xml:space="preserve">MODULE 2: RefreshSheetNames() — Auto-populate Analytics Dashboard Sheet List</t>
  </si>
  <si>
    <t xml:space="preserve">Run this macro any time you rename, add, or duplicate a sheet. It refreshes Column A of the dashboard.</t>
  </si>
  <si>
    <t xml:space="preserve">Sub RefreshSheetNames()</t>
  </si>
  <si>
    <t xml:space="preserve">    ' Dumps all trackable sheet names into Column A of '9. Overall Analytics'</t>
  </si>
  <si>
    <t xml:space="preserve">    ' This powers the INDIRECT() meta-constructor formulas in the KPI Matrix</t>
  </si>
  <si>
    <t xml:space="preserve">    Dim dash As Worksheet</t>
  </si>
  <si>
    <t xml:space="preserve">    Dim i As Long</t>
  </si>
  <si>
    <t xml:space="preserve">    Dim skipSheets As Variant</t>
  </si>
  <si>
    <t xml:space="preserve">    Dim skipThis As Boolean</t>
  </si>
  <si>
    <t xml:space="preserve">    Dim s As Variant</t>
  </si>
  <si>
    <t xml:space="preserve">    skipSheets = Array("Exchange Rate", "9. Overall Analytics", "11. VBA and setup guide")</t>
  </si>
  <si>
    <t xml:space="preserve">    Set dash = ThisWorkbook.Sheets("9. Overall Analytics")</t>
  </si>
  <si>
    <t xml:space="preserve">    ' Clear old names</t>
  </si>
  <si>
    <t xml:space="preserve">    dash.Range("A6:A20").ClearContents</t>
  </si>
  <si>
    <t xml:space="preserve">    dash.Range("A6:A20").ClearFormats</t>
  </si>
  <si>
    <t xml:space="preserve">    i = 6</t>
  </si>
  <si>
    <t xml:space="preserve">    For Each ws In ThisWorkbook.Sheets</t>
  </si>
  <si>
    <t xml:space="preserve">        skipThis = False</t>
  </si>
  <si>
    <t xml:space="preserve">        For Each s In skipSheets</t>
  </si>
  <si>
    <t xml:space="preserve">            If ws.Name = s Then skipThis = True: Exit For</t>
  </si>
  <si>
    <t xml:space="preserve">        Next s</t>
  </si>
  <si>
    <t xml:space="preserve">        If Not skipThis Then</t>
  </si>
  <si>
    <t xml:space="preserve">            dash.Cells(i, 1).Value = ws.Name</t>
  </si>
  <si>
    <t xml:space="preserve">            dash.Cells(i, 1).Font.Name = "Segoe UI"</t>
  </si>
  <si>
    <t xml:space="preserve">            dash.Cells(i, 1).Font.Size = 9</t>
  </si>
  <si>
    <t xml:space="preserve">            dash.Cells(i, 1).Font.Bold = True</t>
  </si>
  <si>
    <t xml:space="preserve">            i = i + 1</t>
  </si>
  <si>
    <t xml:space="preserve">    Next ws</t>
  </si>
  <si>
    <t xml:space="preserve">    MsgBox "✅ Sheet names refreshed! " &amp; (i - 6) &amp; " sheets indexed." &amp; Chr(10) &amp; _</t>
  </si>
  <si>
    <t xml:space="preserve">           "The INDIRECT KPI Matrix will now auto-read all listed sheets.", _</t>
  </si>
  <si>
    <t xml:space="preserve">           vbInformation, "Dashboard Sync Complete"</t>
  </si>
  <si>
    <t xml:space="preserve">MODULE 3: MasterRefresh() — One-Click Full Workbook Recalculation</t>
  </si>
  <si>
    <t xml:space="preserve">Assign this macro to a button on the Analytics dashboard for one-click maintenance.</t>
  </si>
  <si>
    <t xml:space="preserve">Sub MasterRefresh()</t>
  </si>
  <si>
    <t xml:space="preserve">    Application.ScreenUpdating = False</t>
  </si>
  <si>
    <t xml:space="preserve">    Application.Calculation = xlCalculationManual</t>
  </si>
  <si>
    <t xml:space="preserve">    ' Step 1: Refresh sheet name list</t>
  </si>
  <si>
    <t xml:space="preserve">    Call RefreshSheetNames</t>
  </si>
  <si>
    <t xml:space="preserve">    ' Step 2: Force full recalculation</t>
  </si>
  <si>
    <t xml:space="preserve">    Application.CalculateFull</t>
  </si>
  <si>
    <t xml:space="preserve">    Application.Calculation = xlCalculationAutomatic</t>
  </si>
  <si>
    <t xml:space="preserve">    Application.ScreenUpdating = True</t>
  </si>
  <si>
    <t xml:space="preserve">    MsgBox "✅ Master Refresh Complete!" &amp; Chr(10) &amp; _</t>
  </si>
  <si>
    <t xml:space="preserve">           "All sheet names, INDIRECT links, and chart feed data are up to date.", _</t>
  </si>
  <si>
    <t xml:space="preserve">           vbInformation, "KEN JP System — Refresh Done"</t>
  </si>
  <si>
    <t xml:space="preserve">SETUP GUIDE 1: Linking Search &amp; Refresh Buttons to Macros</t>
  </si>
  <si>
    <t xml:space="preserve">  1. On any inventory sheet: Insert → Shapes → Rounded Rectangle. Draw in the Row 4-5 area.</t>
  </si>
  <si>
    <t xml:space="preserve">  2. Right-click shape → Format Shape → Fill → Gradient → Stop 1: #1B365D, Stop 2: #6C757D.</t>
  </si>
  <si>
    <t xml:space="preserve">  3. Right-click → Edit Text: Type '🔍 Search by Product Name'. Font: Segoe UI 10pt Bold White.</t>
  </si>
  <si>
    <t xml:space="preserve">  4. Right-click → Assign Macro → Select 'SearchByProductName' → OK.</t>
  </si>
  <si>
    <t xml:space="preserve">  5. On '9. Overall Analytics' sheet: Add another button with text '🔄 Refresh Dashboard'.</t>
  </si>
  <si>
    <t xml:space="preserve">  6. Assign that button to 'MasterRefresh' macro.</t>
  </si>
  <si>
    <t xml:space="preserve">  7. SAVE AS: File → Save As → Excel Macro-Enabled Workbook (*.xlsm) — MANDATORY for macros to work.</t>
  </si>
  <si>
    <t xml:space="preserve">SETUP GUIDE 2: Enabling Macros &amp; OFFSET Dynamic Dropdowns</t>
  </si>
  <si>
    <t xml:space="preserve">  1. On file open: click 'Enable Content' in the yellow security bar to activate macros.</t>
  </si>
  <si>
    <t xml:space="preserve">  2. The Quick-View dropdown in Row 5 (Cell C5) auto-expands via OFFSET formula.</t>
  </si>
  <si>
    <t xml:space="preserve">  3. OFFSET formula: OFFSET($A$8,0,0,COUNTA($A$8:$A$1000),1) — expands as Product IDs are added.</t>
  </si>
  <si>
    <t xml:space="preserve">  4. No Name Manager setup required — the formula is embedded directly in the Data Validation source.</t>
  </si>
  <si>
    <t xml:space="preserve">  5. Duplicate detection in D5 uses COUNTIF — fires ⚠️ alert when same ID appears more than once.</t>
  </si>
  <si>
    <t xml:space="preserve">SETUP GUIDE 3: INDIRECT Dashboard — How It Works</t>
  </si>
  <si>
    <t xml:space="preserve">  1. Column A (rows 6-14) on the Analytics sheet lists active sheet names as plain text values.</t>
  </si>
  <si>
    <t xml:space="preserve">  2. KPI Matrix formulas use: =IFERROR(INDIRECT("'"&amp;$A6&amp;"'!D108"),0) to pull sheet totals.</t>
  </si>
  <si>
    <t xml:space="preserve">  3. When a sheet is renamed: run 'MasterRefresh' macro → Column A updates → all INDIRECT refs fix automatically.</t>
  </si>
  <si>
    <t xml:space="preserve">  4. The B2 month filter uses: =IF($B$2="Full Year Summary", INDIRECT(ref), SUMIFS(INDIRECT(range),...)) pattern.</t>
  </si>
  <si>
    <t xml:space="preserve">  5. The E2 timeframe selector drives the Chart Feed Table (rows 21-32) via nested IF formulas.</t>
  </si>
  <si>
    <t xml:space="preserve">  6. The Clustered Column Chart should be linked to A20:D32 — it auto-refreshes when E2 changes.</t>
  </si>
  <si>
    <t xml:space="preserve">SETUP GUIDE 4: Restock Sheet Weeks-of-Supply Calculator</t>
  </si>
  <si>
    <t xml:space="preserve">  1. In Column O (Restock sheet): Enter the current physical stock level for each product.</t>
  </si>
  <si>
    <t xml:space="preserve">  2. Column P auto-calculates Weekly Run Rate: counts matching entries in Mercari sheet from last 28 days ÷ 4.</t>
  </si>
  <si>
    <t xml:space="preserve">  3. Column Q shows Weeks of Supply: = O ÷ P. If P=0 (no sales), displays ∞ (infinite supply).</t>
  </si>
  <si>
    <t xml:space="preserve">  4. Column R shows Reorder Date: = TODAY() + (Weeks of Supply × 7 days). Shows 'N/A' if run rate is zero.</t>
  </si>
  <si>
    <t xml:space="preserve">  5. Formula requires the product ID in Column A to EXACTLY match the Product ID in the Mercari sheet.</t>
  </si>
  <si>
    <t xml:space="preserve">  6. Update Restock sheet weekly for accurate runway forecasting.</t>
  </si>
  <si>
    <t xml:space="preserve">FULL FORMULA REFERENCE — Copy-Pasteable</t>
  </si>
  <si>
    <t xml:space="preserve">  ▸ Col C: Transaction Month:</t>
  </si>
  <si>
    <t xml:space="preserve">    =IF(B8="","",TEXT(B8,"mmmm"))</t>
  </si>
  <si>
    <t xml:space="preserve">  ▸ Col E: Purchase PHP (JPY→PHP):</t>
  </si>
  <si>
    <t xml:space="preserve">    =IF(D8="","",D8*'Exchange Rate'!$E$5)</t>
  </si>
  <si>
    <t xml:space="preserve">  ▸ Col G: Selling JPY (PHP→JPY):</t>
  </si>
  <si>
    <t xml:space="preserve">    =IF(F8="","",F8*'Exchange Rate'!$B$5)</t>
  </si>
  <si>
    <t xml:space="preserve">  ▸ Col H: Net Profit JPY:</t>
  </si>
  <si>
    <t xml:space="preserve">    =IF(L8="Inactive",0,IF(ISNUMBER(G8)*ISNUMBER(D8),IF(G8&gt;D8,G8-D8,0),0))</t>
  </si>
  <si>
    <t xml:space="preserve">  ▸ Col I: Net Profit PHP:</t>
  </si>
  <si>
    <t xml:space="preserve">    =IF(L8="Inactive",0,IF(ISNUMBER(F8)*ISNUMBER(E8),IF(F8&gt;E8,F8-E8,0),0))</t>
  </si>
  <si>
    <t xml:space="preserve">  ▸ Col J: Net Loss JPY:</t>
  </si>
  <si>
    <t xml:space="preserve">    =IF(L8="Inactive",0,IF(ISNUMBER(D8)*ISNUMBER(G8),IF(D8&gt;G8,D8-G8,0),0))</t>
  </si>
  <si>
    <t xml:space="preserve">  ▸ Col K: Net Loss PHP:</t>
  </si>
  <si>
    <t xml:space="preserve">    =IF(L8="Inactive",0,IF(ISNUMBER(E8)*ISNUMBER(F8),IF(E8&gt;F8,E8-F8,0),0))</t>
  </si>
  <si>
    <t xml:space="preserve">  ▸ Quick-View OFFSET Dropdown (C5 Data Validation Source):</t>
  </si>
  <si>
    <t xml:space="preserve">    OFFSET($A$8,0,0,COUNTA($A$8:$A$1000),1)</t>
  </si>
  <si>
    <t xml:space="preserve">  ▸ Quick-View Duplicate Warning (D5):</t>
  </si>
  <si>
    <t xml:space="preserve">    =IFERROR(IF(COUNTIF($A$8:$A$107,C5)&gt;1,"⚠️ Multiple Records Found","✅ Unique"),"—")</t>
  </si>
  <si>
    <t xml:space="preserve">  ▸ Analytics INDIRECT (KPI row 6, col B):</t>
  </si>
  <si>
    <t xml:space="preserve">    =IFERROR(IF($B$2="Full Year Summary",INDIRECT("'"&amp;$A6&amp;"'!D108"),IFERROR(SUMIFS(INDIRECT("'"&amp;$A6&amp;"'!D8:D107"),INDIRECT("'"&amp;$A6&amp;"'!C8:C107"),$B$2),0)),0)</t>
  </si>
  <si>
    <t xml:space="preserve">  ▸ Restock Weekly Run Rate (Col P):</t>
  </si>
  <si>
    <t xml:space="preserve">    =IFERROR(COUNTIFS('2. Mercari and Online store'!$A$8:$A$107,A8,'2. Mercari and Online store'!$B$8:$B$107,"&gt;="&amp;(TODAY()-28))/4,0)</t>
  </si>
  <si>
    <t xml:space="preserve">  ▸ Restock Weeks of Supply (Col Q):</t>
  </si>
  <si>
    <t xml:space="preserve">    =IFERROR(IF(P8=0,"∞",O8/P8),"—")</t>
  </si>
  <si>
    <t xml:space="preserve">  ▸ Restock Reorder Date (Col R):</t>
  </si>
  <si>
    <t xml:space="preserve">    =IFERROR(IF(OR(P8=0,O8=""),"N/A",TEXT(TODAY()+(IFERROR(O8/P8,0)*7),"DD-MMM-YYYY")),"—")</t>
  </si>
  <si>
    <t xml:space="preserve">MODULE 4 — Fuzzy Search: How It Works &amp; How to Use It</t>
  </si>
  <si>
    <t xml:space="preserve">  ▸ The fuzzy search in Row 5 of every data sheet works with native Excel 365 FILTER + SEARCH formulas.</t>
  </si>
  <si>
    <t xml:space="preserve">  ▸ NO VBA is required for the core fuzzy lookup to function — it is purely formula-driven.</t>
  </si>
  <si>
    <t xml:space="preserve">  ▸ HOW TO USE: Type ANY partial text into the yellow cell C5 (e.g. 'Dhar', 'OP0', '05/22')</t>
  </si>
  <si>
    <t xml:space="preserve">      → Cell D5 shows a live count: e.g. '3 match(es) found'</t>
  </si>
  <si>
    <t xml:space="preserve">      → Cell G5 shows the Nth match's full identifier: e.g. 'Dharsan (05/22/2026)'</t>
  </si>
  <si>
    <t xml:space="preserve">      → Cells H5–L5 show that match's row data: Purchase JPY, Selling PHP, Profit, Loss, Status</t>
  </si>
  <si>
    <t xml:space="preserve">      → Change F5 (the # picker dropdown: 1–10) to cycle through duplicate entries by date.</t>
  </si>
  <si>
    <t xml:space="preserve">  ▸ DUPLICATE HANDLING: If 'Dharsan' appears twice (05/22 and 05/24), D5 shows '2 match(es) found'.</t>
  </si>
  <si>
    <t xml:space="preserve">  ▸   Set F5=1 to see the 05/22 entry, set F5=2 to see the 05/24 entry. Completely disambiguated.</t>
  </si>
  <si>
    <t xml:space="preserve">  ▸ '❌ No Data Found' appears in G5 when the search text has zero matches in Column A.</t>
  </si>
  <si>
    <t xml:space="preserve">  ▸ CASE-INSENSITIVE: SEARCH() is case-insensitive — 'dhar', 'DHAR', 'Dhar' all match 'Dharsan'.</t>
  </si>
  <si>
    <t xml:space="preserve">MODULE 5 — VBA Worksheet_Change: Optional Live Dropdown Refresh (Advanced)</t>
  </si>
  <si>
    <t xml:space="preserve">Paste this into EACH sheet's own code module (not a standard module) for auto-refresh behavior:</t>
  </si>
  <si>
    <t xml:space="preserve">Right-click the sheet tab → View Code → paste below into the code window:</t>
  </si>
  <si>
    <t xml:space="preserve">Private Sub Worksheet_Change(ByVal Target As Range)</t>
  </si>
  <si>
    <t xml:space="preserve">    '──────────────────────────────────────────────────────────────</t>
  </si>
  <si>
    <t xml:space="preserve">    ' Auto-fires whenever ANY cell on this sheet is edited.</t>
  </si>
  <si>
    <t xml:space="preserve">    ' If the changed cell is C5 (the fuzzy search input),</t>
  </si>
  <si>
    <t xml:space="preserve">    ' it forces a full recalculation so FILTER formulas update instantly.</t>
  </si>
  <si>
    <t xml:space="preserve">    If Not Intersect(Target, Me.Range("C5")) Is Nothing Then</t>
  </si>
  <si>
    <t xml:space="preserve">        Application.CalculateFull</t>
  </si>
  <si>
    <t xml:space="preserve">'──────────────────────────────────────────────────────────────────────</t>
  </si>
  <si>
    <t xml:space="preserve">' Optional: Press F9 (Calculate) if fuzzy results seem stale.</t>
  </si>
  <si>
    <t xml:space="preserve">' FILTER, SEARCH, and INDEX are volatile when wrapped in IF — they</t>
  </si>
  <si>
    <t xml:space="preserve">' should auto-update on each keystroke in Excel 365 with calculation</t>
  </si>
  <si>
    <t xml:space="preserve">' set to Automatic (Formula tab → Calculation Options → Automatic).</t>
  </si>
  <si>
    <t xml:space="preserve">FORMULA REFERENCE: Exact Formulas Used in Row 5 Fuzzy Search</t>
  </si>
  <si>
    <t xml:space="preserve">  ▸ Helper Column (col M/O/S/K, rows 8–107) — Concatenation Key:</t>
  </si>
  <si>
    <t xml:space="preserve">    =IF(A8="","—",A8&amp;" ("&amp;TEXT(B8,"MM/DD/YYYY")&amp;")")</t>
  </si>
  <si>
    <t xml:space="preserve">  ▸ D5 — Live match counter:</t>
  </si>
  <si>
    <t xml:space="preserve">    =IF($C$5="","← type above",IFERROR(ROWS(FILTER($M$8:$M$107,ISNUMBER(SEARCH($C$5,$M$8:$M$107))))&amp;" match(es) found","❌ 0 found"))</t>
  </si>
  <si>
    <t xml:space="preserve">  ▸ G5 — Nth match string (F5 controls N):</t>
  </si>
  <si>
    <t xml:space="preserve">    =IF($C$5="","— no active search —",IFERROR(INDEX(FILTER($M$8:$M$107,ISNUMBER(SEARCH($C$5,$M$8:$M$107)),"❌ No Data Found"),VALUE($F$5)),"❌ No Data Found"))</t>
  </si>
  <si>
    <t xml:space="preserve">  ▸ H5 — Purchase JPY lookup via unique concat key:</t>
  </si>
  <si>
    <t xml:space="preserve">    =IFERROR(IF($G$5="❌ No Data Found","—",INDEX($D$8:$D$107,MATCH($G$5,$M$8:$M$107,0))),"—")</t>
  </si>
  <si>
    <t xml:space="preserve">  ▸ J5 — Net Profit JPY of selected match:</t>
  </si>
  <si>
    <t xml:space="preserve">    =IFERROR(IF($G$5="❌ No Data Found","—",INDEX($H$8:$H$107,MATCH($G$5,$M$8:$M$107,0))),"—")</t>
  </si>
  <si>
    <t xml:space="preserve">  ▸ K5 — Net Loss JPY of selected match:</t>
  </si>
  <si>
    <t xml:space="preserve">    =IFERROR(IF($G$5="❌ No Data Found","—",INDEX($J$8:$J$107,MATCH($G$5,$M$8:$M$107,0))),"—")</t>
  </si>
  <si>
    <t xml:space="preserve">  ▸ L5 — Stock Status of selected match:</t>
  </si>
  <si>
    <t xml:space="preserve">    =IFERROR(IF($G$5="❌ No Data Found","—",INDEX($L$8:$L$107,MATCH($G$5,$M$8:$M$107,0))),"—")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</si>
</sst>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#,##0"/>
    <numFmt numFmtId="167" formatCode="#,##0.00"/>
    <numFmt numFmtId="168" formatCode="@"/>
    <numFmt numFmtId="169" formatCode="dd\-mmm\-yyyy"/>
    <numFmt numFmtId="170" formatCode="0.0%"/>
    <numFmt numFmtId="171" formatCode="0"/>
    <numFmt numFmtId="172" formatCode="0.00"/>
    <numFmt numFmtId="173" formatCode="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0"/>
      <color rgb="FF212529"/>
      <name val="Segoe UI"/>
      <family val="0"/>
      <charset val="1"/>
    </font>
    <font>
      <b val="true"/>
      <sz val="12"/>
      <color rgb="FF1B365D"/>
      <name val="Segoe UI"/>
      <family val="0"/>
      <charset val="1"/>
    </font>
    <font>
      <i val="true"/>
      <sz val="8"/>
      <color rgb="FF555555"/>
      <name val="Segoe UI"/>
      <family val="0"/>
      <charset val="1"/>
    </font>
    <font>
      <sz val="9"/>
      <color rgb="FF333333"/>
      <name val="Segoe UI"/>
      <family val="0"/>
      <charset val="1"/>
    </font>
    <font>
      <b val="true"/>
      <sz val="20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11"/>
      <color rgb="FF0D47A1"/>
      <name val="Segoe UI"/>
      <family val="0"/>
      <charset val="1"/>
    </font>
    <font>
      <b val="true"/>
      <sz val="9"/>
      <color rgb="FF212529"/>
      <name val="Segoe UI"/>
      <family val="0"/>
      <charset val="1"/>
    </font>
    <font>
      <b val="true"/>
      <sz val="8"/>
      <color rgb="FFFFFFFF"/>
      <name val="Segoe UI"/>
      <family val="0"/>
      <charset val="1"/>
    </font>
    <font>
      <b val="true"/>
      <sz val="11"/>
      <color rgb="FF1B365D"/>
      <name val="Segoe UI"/>
      <family val="0"/>
      <charset val="1"/>
    </font>
    <font>
      <b val="true"/>
      <sz val="9"/>
      <color rgb="FF1B365D"/>
      <name val="Segoe UI"/>
      <family val="0"/>
      <charset val="1"/>
    </font>
    <font>
      <b val="true"/>
      <sz val="9"/>
      <color rgb="FF0D47A1"/>
      <name val="Segoe UI"/>
      <family val="0"/>
      <charset val="1"/>
    </font>
    <font>
      <b val="true"/>
      <sz val="9"/>
      <color rgb="FF155724"/>
      <name val="Segoe UI"/>
      <family val="0"/>
      <charset val="1"/>
    </font>
    <font>
      <b val="true"/>
      <sz val="9"/>
      <color rgb="FF721C24"/>
      <name val="Segoe UI"/>
      <family val="0"/>
      <charset val="1"/>
    </font>
    <font>
      <b val="true"/>
      <sz val="9"/>
      <color rgb="FF856404"/>
      <name val="Segoe UI"/>
      <family val="0"/>
      <charset val="1"/>
    </font>
    <font>
      <sz val="8"/>
      <color rgb="FFAAAAAA"/>
      <name val="Segoe UI"/>
      <family val="0"/>
      <charset val="1"/>
    </font>
    <font>
      <sz val="9"/>
      <color rgb="FF0D47A1"/>
      <name val="Segoe UI"/>
      <family val="0"/>
      <charset val="1"/>
    </font>
    <font>
      <sz val="9"/>
      <color rgb="FF000000"/>
      <name val="Segoe UI"/>
      <family val="0"/>
      <charset val="1"/>
    </font>
    <font>
      <sz val="8"/>
      <color rgb="FF888888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1"/>
      <color rgb="FF212529"/>
      <name val="Segoe UI"/>
      <family val="0"/>
      <charset val="1"/>
    </font>
    <font>
      <b val="true"/>
      <sz val="16"/>
      <color rgb="FFFFFFFF"/>
      <name val="Segoe UI"/>
      <family val="0"/>
      <charset val="1"/>
    </font>
    <font>
      <b val="true"/>
      <sz val="28"/>
      <color rgb="FF155724"/>
      <name val="Segoe UI"/>
      <family val="0"/>
      <charset val="1"/>
    </font>
    <font>
      <b val="true"/>
      <sz val="16"/>
      <color rgb="FF856404"/>
      <name val="Segoe UI"/>
      <family val="0"/>
      <charset val="1"/>
    </font>
    <font>
      <b val="true"/>
      <sz val="24"/>
      <color rgb="FF17A2B8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Segoe UI"/>
      <family val="0"/>
      <charset val="1"/>
    </font>
    <font>
      <sz val="9"/>
      <color rgb="FF000080"/>
      <name val="Courier New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212529"/>
        <bgColor rgb="FF333333"/>
      </patternFill>
    </fill>
    <fill>
      <patternFill patternType="solid">
        <fgColor rgb="FF1B365D"/>
        <bgColor rgb="FF333333"/>
      </patternFill>
    </fill>
    <fill>
      <patternFill patternType="solid">
        <fgColor rgb="FFFFF3CD"/>
        <bgColor rgb="FFFFF9E6"/>
      </patternFill>
    </fill>
    <fill>
      <patternFill patternType="solid">
        <fgColor rgb="FFFFFDE7"/>
        <bgColor rgb="FFFFF9E6"/>
      </patternFill>
    </fill>
    <fill>
      <patternFill patternType="solid">
        <fgColor rgb="FFFFF9E6"/>
        <bgColor rgb="FFFEF9E7"/>
      </patternFill>
    </fill>
    <fill>
      <patternFill patternType="solid">
        <fgColor rgb="FFFFC107"/>
        <bgColor rgb="FFB3B3B3"/>
      </patternFill>
    </fill>
    <fill>
      <patternFill patternType="solid">
        <fgColor rgb="FFFFFFFF"/>
        <bgColor rgb="FFFFFDE7"/>
      </patternFill>
    </fill>
    <fill>
      <patternFill patternType="solid">
        <fgColor rgb="FFE8F4FD"/>
        <bgColor rgb="FFEBF5FB"/>
      </patternFill>
    </fill>
    <fill>
      <patternFill patternType="solid">
        <fgColor rgb="FFEBF5FB"/>
        <bgColor rgb="FFE8F4FD"/>
      </patternFill>
    </fill>
    <fill>
      <patternFill patternType="solid">
        <fgColor rgb="FF495057"/>
        <bgColor rgb="FF555555"/>
      </patternFill>
    </fill>
    <fill>
      <patternFill patternType="solid">
        <fgColor rgb="FFD4EDDA"/>
        <bgColor rgb="FFE8F8E8"/>
      </patternFill>
    </fill>
    <fill>
      <patternFill patternType="solid">
        <fgColor rgb="FFF8D7DA"/>
        <bgColor rgb="FFD9D9D9"/>
      </patternFill>
    </fill>
    <fill>
      <patternFill patternType="solid">
        <fgColor rgb="FFD5D5D5"/>
        <bgColor rgb="FFD9D9D9"/>
      </patternFill>
    </fill>
    <fill>
      <patternFill patternType="solid">
        <fgColor rgb="FFF5F5F5"/>
        <bgColor rgb="FFF2F2F2"/>
      </patternFill>
    </fill>
    <fill>
      <patternFill patternType="solid">
        <fgColor rgb="FFF2F2F2"/>
        <bgColor rgb="FFF5F5F5"/>
      </patternFill>
    </fill>
    <fill>
      <patternFill patternType="solid">
        <fgColor rgb="FF155724"/>
        <bgColor rgb="FF1B365D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FF9E6"/>
      </patternFill>
    </fill>
    <fill>
      <patternFill patternType="solid">
        <fgColor rgb="FFFDEDEC"/>
        <bgColor rgb="FFFFF0F0"/>
      </patternFill>
    </fill>
    <fill>
      <patternFill patternType="solid">
        <fgColor rgb="FFF5EEF8"/>
        <bgColor rgb="FFF9F0FF"/>
      </patternFill>
    </fill>
    <fill>
      <patternFill patternType="solid">
        <fgColor rgb="FF721C24"/>
        <bgColor rgb="FF800000"/>
      </patternFill>
    </fill>
    <fill>
      <patternFill patternType="solid">
        <fgColor rgb="FFEAF2FF"/>
        <bgColor rgb="FFE8F4FD"/>
      </patternFill>
    </fill>
    <fill>
      <patternFill patternType="solid">
        <fgColor rgb="FFFFF0F0"/>
        <bgColor rgb="FFFDEDEC"/>
      </patternFill>
    </fill>
    <fill>
      <patternFill patternType="solid">
        <fgColor rgb="FFF0FFF4"/>
        <bgColor rgb="FFE8F8F5"/>
      </patternFill>
    </fill>
    <fill>
      <patternFill patternType="solid">
        <fgColor rgb="FFF9F0FF"/>
        <bgColor rgb="FFF5EEF8"/>
      </patternFill>
    </fill>
    <fill>
      <patternFill patternType="solid">
        <fgColor rgb="FF17A2B8"/>
        <bgColor rgb="FF28A745"/>
      </patternFill>
    </fill>
    <fill>
      <patternFill patternType="solid">
        <fgColor rgb="FFF0F4FF"/>
        <bgColor rgb="FFEBF5FB"/>
      </patternFill>
    </fill>
    <fill>
      <patternFill patternType="solid">
        <fgColor rgb="FF6F42C1"/>
        <bgColor rgb="FF555555"/>
      </patternFill>
    </fill>
    <fill>
      <patternFill patternType="solid">
        <fgColor rgb="FFEDE7FF"/>
        <bgColor rgb="FFF5EEF8"/>
      </patternFill>
    </fill>
    <fill>
      <patternFill patternType="solid">
        <fgColor rgb="FF28A745"/>
        <bgColor rgb="FF17A2B8"/>
      </patternFill>
    </fill>
    <fill>
      <patternFill patternType="solid">
        <fgColor rgb="FFE8F8E8"/>
        <bgColor rgb="FFE8F8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55724"/>
      </font>
      <fill>
        <patternFill>
          <bgColor rgb="FFD4EDDA"/>
        </patternFill>
      </fill>
    </dxf>
    <dxf>
      <font>
        <b val="1"/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5F5F5"/>
      <rgbColor rgb="FF0000FF"/>
      <rgbColor rgb="FFFFF9E6"/>
      <rgbColor rgb="FFFF00FF"/>
      <rgbColor rgb="FFF0FFF4"/>
      <rgbColor rgb="FF721C24"/>
      <rgbColor rgb="FF008000"/>
      <rgbColor rgb="FF000080"/>
      <rgbColor rgb="FF856404"/>
      <rgbColor rgb="FF800080"/>
      <rgbColor rgb="FF17A2B8"/>
      <rgbColor rgb="FFCCCCCC"/>
      <rgbColor rgb="FF888888"/>
      <rgbColor rgb="FFEAF2FF"/>
      <rgbColor rgb="FFDC3545"/>
      <rgbColor rgb="FFFFFDE7"/>
      <rgbColor rgb="FFE8F8F5"/>
      <rgbColor rgb="FF660066"/>
      <rgbColor rgb="FFFDEDEC"/>
      <rgbColor rgb="FF0066CC"/>
      <rgbColor rgb="FFD5D5D5"/>
      <rgbColor rgb="FF000080"/>
      <rgbColor rgb="FFFF00FF"/>
      <rgbColor rgb="FFFEF9E7"/>
      <rgbColor rgb="FFF0F4FF"/>
      <rgbColor rgb="FF800080"/>
      <rgbColor rgb="FF800000"/>
      <rgbColor rgb="FF495057"/>
      <rgbColor rgb="FF0000FF"/>
      <rgbColor rgb="FFF2F2F2"/>
      <rgbColor rgb="FFE8F4FD"/>
      <rgbColor rgb="FFD4EDDA"/>
      <rgbColor rgb="FFFFF3CD"/>
      <rgbColor rgb="FFB3B3B3"/>
      <rgbColor rgb="FFEDE7FF"/>
      <rgbColor rgb="FFD9D9D9"/>
      <rgbColor rgb="FFF8D7DA"/>
      <rgbColor rgb="FFF9F0FF"/>
      <rgbColor rgb="FFEBF5FB"/>
      <rgbColor rgb="FFE8F8E8"/>
      <rgbColor rgb="FFFFC107"/>
      <rgbColor rgb="FFFFF0F0"/>
      <rgbColor rgb="FFF5EEF8"/>
      <rgbColor rgb="FF6C757D"/>
      <rgbColor rgb="FFAAAAAA"/>
      <rgbColor rgb="FF1B365D"/>
      <rgbColor rgb="FF28A745"/>
      <rgbColor rgb="FF155724"/>
      <rgbColor rgb="FF212529"/>
      <rgbColor rgb="FF555555"/>
      <rgbColor rgb="FF6F42C1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Financial Performance &amp; Capital Allocation Analytics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'9. Overall Analytics'!B20</c:f>
              <c:strCache>
                <c:ptCount val="1"/>
                <c:pt idx="0">
                  <c:v>Purchase Vol (JPY) ← Col D</c:v>
                </c:pt>
              </c:strCache>
            </c:strRef>
          </c:tx>
          <c:spPr>
            <a:solidFill>
              <a:srgbClr val="6c757d"/>
            </a:solidFill>
            <a:ln w="0">
              <a:solidFill>
                <a:srgbClr val="6c757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Overall Analytics'!$A$21:$A$32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 Overall Analytics'!$B$21:$B$32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'9. Overall Analytics'!C20</c:f>
              <c:strCache>
                <c:ptCount val="1"/>
                <c:pt idx="0">
                  <c:v>Net Profit (JPY) ← Col H</c:v>
                </c:pt>
              </c:strCache>
            </c:strRef>
          </c:tx>
          <c:spPr>
            <a:solidFill>
              <a:srgbClr val="28a745"/>
            </a:solidFill>
            <a:ln w="0">
              <a:solidFill>
                <a:srgbClr val="28a7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Overall Analytics'!$A$21:$A$32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 Overall Analytics'!$C$21:$C$32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'9. Overall Analytics'!D20</c:f>
              <c:strCache>
                <c:ptCount val="1"/>
                <c:pt idx="0">
                  <c:v>Net Losses (JPY) ← Col J</c:v>
                </c:pt>
              </c:strCache>
            </c:strRef>
          </c:tx>
          <c:spPr>
            <a:solidFill>
              <a:srgbClr val="dc3545"/>
            </a:solidFill>
            <a:ln w="0">
              <a:solidFill>
                <a:srgbClr val="dc3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Overall Analytics'!$A$21:$A$32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 Overall Analytics'!$D$21:$D$32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1522061"/>
        <c:axId val="50413232"/>
      </c:barChart>
      <c:catAx>
        <c:axId val="31522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13232"/>
        <c:crosses val="autoZero"/>
        <c:auto val="1"/>
        <c:lblAlgn val="ctr"/>
        <c:lblOffset val="100"/>
        <c:noMultiLvlLbl val="0"/>
      </c:catAx>
      <c:valAx>
        <c:axId val="504132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Amount (JPY)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22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45</xdr:row>
      <xdr:rowOff>0</xdr:rowOff>
    </xdr:from>
    <xdr:to>
      <xdr:col>6</xdr:col>
      <xdr:colOff>760320</xdr:colOff>
      <xdr:row>65</xdr:row>
      <xdr:rowOff>235080</xdr:rowOff>
    </xdr:to>
    <xdr:graphicFrame>
      <xdr:nvGraphicFramePr>
        <xdr:cNvPr id="0" name="Chart 1"/>
        <xdr:cNvGraphicFramePr/>
      </xdr:nvGraphicFramePr>
      <xdr:xfrm>
        <a:off x="0" y="11906280"/>
        <a:ext cx="935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24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6" hidden="false" customHeight="true" outlineLevel="0" collapsed="false">
      <c r="A2" s="2"/>
      <c r="B2" s="2"/>
      <c r="C2" s="2"/>
      <c r="D2" s="2"/>
      <c r="E2" s="2"/>
      <c r="F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</row>
    <row r="4" customFormat="false" ht="21.75" hidden="false" customHeight="true" outlineLevel="0" collapsed="false">
      <c r="A4" s="3" t="s">
        <v>1</v>
      </c>
      <c r="B4" s="3"/>
      <c r="D4" s="3" t="s">
        <v>2</v>
      </c>
      <c r="E4" s="3"/>
    </row>
    <row r="5" customFormat="false" ht="21.75" hidden="false" customHeight="true" outlineLevel="0" collapsed="false">
      <c r="A5" s="4" t="s">
        <v>3</v>
      </c>
      <c r="B5" s="5" t="n">
        <v>2.7</v>
      </c>
      <c r="D5" s="4" t="s">
        <v>4</v>
      </c>
      <c r="E5" s="5" t="n">
        <v>0.37</v>
      </c>
    </row>
    <row r="6" customFormat="false" ht="21.75" hidden="false" customHeight="true" outlineLevel="0" collapsed="false">
      <c r="A6" s="6" t="s">
        <v>5</v>
      </c>
      <c r="B6" s="6"/>
      <c r="D6" s="6" t="s">
        <v>6</v>
      </c>
      <c r="E6" s="6"/>
    </row>
    <row r="7" customFormat="false" ht="21.75" hidden="false" customHeight="true" outlineLevel="0" collapsed="false"/>
    <row r="8" customFormat="false" ht="21.75" hidden="false" customHeight="true" outlineLevel="0" collapsed="false">
      <c r="A8" s="7" t="s">
        <v>7</v>
      </c>
      <c r="B8" s="7"/>
      <c r="C8" s="7"/>
      <c r="D8" s="7"/>
      <c r="E8" s="7"/>
      <c r="F8" s="7"/>
    </row>
    <row r="9" customFormat="false" ht="19.5" hidden="false" customHeight="true" outlineLevel="0" collapsed="false">
      <c r="A9" s="8" t="s">
        <v>8</v>
      </c>
      <c r="B9" s="8"/>
      <c r="C9" s="8"/>
      <c r="D9" s="8"/>
      <c r="E9" s="8"/>
      <c r="F9" s="8"/>
    </row>
    <row r="10" customFormat="false" ht="19.5" hidden="false" customHeight="true" outlineLevel="0" collapsed="false">
      <c r="A10" s="9" t="s">
        <v>9</v>
      </c>
      <c r="B10" s="9"/>
      <c r="C10" s="9"/>
      <c r="D10" s="9"/>
      <c r="E10" s="9"/>
      <c r="F10" s="9"/>
    </row>
    <row r="11" customFormat="false" ht="19.5" hidden="false" customHeight="true" outlineLevel="0" collapsed="false">
      <c r="A11" s="8" t="s">
        <v>10</v>
      </c>
      <c r="B11" s="8"/>
      <c r="C11" s="8"/>
      <c r="D11" s="8"/>
      <c r="E11" s="8"/>
      <c r="F11" s="8"/>
    </row>
    <row r="12" customFormat="false" ht="19.5" hidden="false" customHeight="true" outlineLevel="0" collapsed="false">
      <c r="A12" s="9" t="s">
        <v>11</v>
      </c>
      <c r="B12" s="9"/>
      <c r="C12" s="9"/>
      <c r="D12" s="9"/>
      <c r="E12" s="9"/>
      <c r="F12" s="9"/>
    </row>
    <row r="13" customFormat="false" ht="19.5" hidden="false" customHeight="true" outlineLevel="0" collapsed="false">
      <c r="A13" s="8" t="s">
        <v>12</v>
      </c>
      <c r="B13" s="8"/>
      <c r="C13" s="8"/>
      <c r="D13" s="8"/>
      <c r="E13" s="8"/>
      <c r="F13" s="8"/>
    </row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</sheetData>
  <mergeCells count="11">
    <mergeCell ref="A1:F3"/>
    <mergeCell ref="A4:B4"/>
    <mergeCell ref="D4:E4"/>
    <mergeCell ref="A6:B6"/>
    <mergeCell ref="D6:E6"/>
    <mergeCell ref="A8:F8"/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true" outlineLevel="0" max="13" min="13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25.5" hidden="false" customHeight="true" outlineLevel="0" collapsed="false">
      <c r="A4" s="11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above",IFERROR(ROWS(filter($M$8:$M$107,ISNUMBER(SEARCH($C$5,$M$8:$M$107))))&amp;"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—",IFERROR(INDEX(filter($M$8:$M$107,ISNUMBER(SEARCH($C$5,$M$8:$M$107)),"❌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—","—",INDEX($D$8:$D$107,MATCH($G$5,$M$8:$M$107,0)))),"—")</f>
        <v>—</v>
      </c>
      <c r="I5" s="20" t="str">
        <f aca="false">IFERROR(IF($G$5="❌ No Data Found","—",IF($G$5="— no active search —","—",INDEX($F$8:$F$107,MATCH($G$5,$M$8:$M$107,0)))),"—")</f>
        <v>—</v>
      </c>
      <c r="J5" s="21" t="str">
        <f aca="false">IFERROR(IF($G$5="❌ No Data Found","—",IF($G$5="— no active search —","—",INDEX($H$8:$H$107,MATCH($G$5,$M$8:$M$107,0)))),"—")</f>
        <v>—</v>
      </c>
      <c r="K5" s="22" t="str">
        <f aca="false">IFERROR(IF($G$5="❌ No Data Found","—",IF($G$5="— no active search —","—",INDEX($J$8:$J$107,MATCH($G$5,$M$8:$M$107,0)))),"—")</f>
        <v>—</v>
      </c>
      <c r="L5" s="23" t="str">
        <f aca="false">IFERROR(IF($G$5="❌ No Data Found","—",IF($G$5="— no active search —","—",INDEX($L$8:$L$107,MATCH($G$5,$M$8:$M$107,0)))),"—")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</sheetData>
  <mergeCells count="14">
    <mergeCell ref="A1:L3"/>
    <mergeCell ref="A4:L4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false" outlineLevel="0" max="13" min="13" style="1" width="18"/>
    <col collapsed="false" customWidth="true" hidden="false" outlineLevel="0" max="14" min="14" style="1" width="28"/>
    <col collapsed="false" customWidth="true" hidden="true" outlineLevel="0" max="15" min="15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customFormat="false" ht="25.5" hidden="false" customHeight="true" outlineLevel="0" collapsed="false">
      <c r="A4" s="11" t="s">
        <v>44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above",IFERROR(ROWS(filter($O$8:$O$107,ISNUMBER(SEARCH($C$5,$O$8:$O$107))))&amp;"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—",IFERROR(INDEX(filter($O$8:$O$107,ISNUMBER(SEARCH($C$5,$O$8:$O$107)),"❌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—","—",INDEX($D$8:$D$107,MATCH($G$5,$O$8:$O$107,0)))),"—")</f>
        <v>—</v>
      </c>
      <c r="I5" s="20" t="str">
        <f aca="false">IFERROR(IF($G$5="❌ No Data Found","—",IF($G$5="— no active search —","—",INDEX($F$8:$F$107,MATCH($G$5,$O$8:$O$107,0)))),"—")</f>
        <v>—</v>
      </c>
      <c r="J5" s="21" t="str">
        <f aca="false">IFERROR(IF($G$5="❌ No Data Found","—",IF($G$5="— no active search —","—",INDEX($H$8:$H$107,MATCH($G$5,$O$8:$O$107,0)))),"—")</f>
        <v>—</v>
      </c>
      <c r="K5" s="22" t="str">
        <f aca="false">IFERROR(IF($G$5="❌ No Data Found","—",IF($G$5="— no active search —","—",INDEX($J$8:$J$107,MATCH($G$5,$O$8:$O$107,0)))),"—")</f>
        <v>—</v>
      </c>
      <c r="L5" s="23" t="str">
        <f aca="false">IFERROR(IF($G$5="❌ No Data Found","—",IF($G$5="— no active search —","—",INDEX($L$8:$L$107,MATCH($G$5,$O$8:$O$107,0)))),"—")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5" t="s">
        <v>45</v>
      </c>
      <c r="N7" s="25" t="s">
        <v>46</v>
      </c>
      <c r="O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44"/>
      <c r="N8" s="44"/>
      <c r="O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44"/>
      <c r="N9" s="44"/>
      <c r="O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44"/>
      <c r="N10" s="44"/>
      <c r="O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44"/>
      <c r="N11" s="44"/>
      <c r="O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44"/>
      <c r="N12" s="44"/>
      <c r="O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44"/>
      <c r="N13" s="44"/>
      <c r="O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44"/>
      <c r="N14" s="44"/>
      <c r="O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44"/>
      <c r="N15" s="44"/>
      <c r="O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44"/>
      <c r="N16" s="44"/>
      <c r="O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44"/>
      <c r="N17" s="44"/>
      <c r="O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44"/>
      <c r="N18" s="44"/>
      <c r="O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44"/>
      <c r="N19" s="44"/>
      <c r="O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44"/>
      <c r="N20" s="44"/>
      <c r="O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44"/>
      <c r="N21" s="44"/>
      <c r="O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44"/>
      <c r="N22" s="44"/>
      <c r="O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44"/>
      <c r="N23" s="44"/>
      <c r="O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44"/>
      <c r="N24" s="44"/>
      <c r="O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44"/>
      <c r="N25" s="44"/>
      <c r="O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44"/>
      <c r="N26" s="44"/>
      <c r="O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44"/>
      <c r="N27" s="44"/>
      <c r="O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44"/>
      <c r="N28" s="44"/>
      <c r="O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44"/>
      <c r="N29" s="44"/>
      <c r="O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44"/>
      <c r="N30" s="44"/>
      <c r="O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44"/>
      <c r="N31" s="44"/>
      <c r="O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44"/>
      <c r="N32" s="44"/>
      <c r="O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44"/>
      <c r="N33" s="44"/>
      <c r="O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44"/>
      <c r="N34" s="44"/>
      <c r="O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44"/>
      <c r="N35" s="44"/>
      <c r="O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44"/>
      <c r="N36" s="44"/>
      <c r="O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44"/>
      <c r="N37" s="44"/>
      <c r="O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44"/>
      <c r="N38" s="44"/>
      <c r="O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44"/>
      <c r="N39" s="44"/>
      <c r="O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44"/>
      <c r="N40" s="44"/>
      <c r="O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44"/>
      <c r="N41" s="44"/>
      <c r="O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44"/>
      <c r="N42" s="44"/>
      <c r="O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44"/>
      <c r="N43" s="44"/>
      <c r="O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44"/>
      <c r="N44" s="44"/>
      <c r="O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44"/>
      <c r="N45" s="44"/>
      <c r="O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44"/>
      <c r="N46" s="44"/>
      <c r="O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44"/>
      <c r="N47" s="44"/>
      <c r="O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44"/>
      <c r="N48" s="44"/>
      <c r="O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44"/>
      <c r="N49" s="44"/>
      <c r="O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44"/>
      <c r="N50" s="44"/>
      <c r="O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44"/>
      <c r="N51" s="44"/>
      <c r="O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44"/>
      <c r="N52" s="44"/>
      <c r="O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44"/>
      <c r="N53" s="44"/>
      <c r="O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44"/>
      <c r="N54" s="44"/>
      <c r="O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44"/>
      <c r="N55" s="44"/>
      <c r="O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44"/>
      <c r="N56" s="44"/>
      <c r="O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44"/>
      <c r="N57" s="44"/>
      <c r="O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44"/>
      <c r="N58" s="44"/>
      <c r="O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44"/>
      <c r="N59" s="44"/>
      <c r="O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44"/>
      <c r="N60" s="44"/>
      <c r="O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44"/>
      <c r="N61" s="44"/>
      <c r="O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44"/>
      <c r="N62" s="44"/>
      <c r="O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44"/>
      <c r="N63" s="44"/>
      <c r="O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44"/>
      <c r="N64" s="44"/>
      <c r="O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44"/>
      <c r="N65" s="44"/>
      <c r="O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44"/>
      <c r="N66" s="44"/>
      <c r="O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44"/>
      <c r="N67" s="44"/>
      <c r="O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44"/>
      <c r="N68" s="44"/>
      <c r="O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44"/>
      <c r="N69" s="44"/>
      <c r="O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44"/>
      <c r="N70" s="44"/>
      <c r="O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44"/>
      <c r="N71" s="44"/>
      <c r="O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44"/>
      <c r="N72" s="44"/>
      <c r="O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44"/>
      <c r="N73" s="44"/>
      <c r="O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44"/>
      <c r="N74" s="44"/>
      <c r="O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44"/>
      <c r="N75" s="44"/>
      <c r="O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44"/>
      <c r="N76" s="44"/>
      <c r="O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44"/>
      <c r="N77" s="44"/>
      <c r="O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44"/>
      <c r="N78" s="44"/>
      <c r="O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44"/>
      <c r="N79" s="44"/>
      <c r="O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44"/>
      <c r="N80" s="44"/>
      <c r="O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44"/>
      <c r="N81" s="44"/>
      <c r="O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44"/>
      <c r="N82" s="44"/>
      <c r="O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44"/>
      <c r="N83" s="44"/>
      <c r="O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44"/>
      <c r="N84" s="44"/>
      <c r="O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44"/>
      <c r="N85" s="44"/>
      <c r="O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44"/>
      <c r="N86" s="44"/>
      <c r="O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44"/>
      <c r="N87" s="44"/>
      <c r="O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44"/>
      <c r="N88" s="44"/>
      <c r="O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44"/>
      <c r="N89" s="44"/>
      <c r="O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44"/>
      <c r="N90" s="44"/>
      <c r="O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44"/>
      <c r="N91" s="44"/>
      <c r="O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44"/>
      <c r="N92" s="44"/>
      <c r="O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44"/>
      <c r="N93" s="44"/>
      <c r="O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44"/>
      <c r="N94" s="44"/>
      <c r="O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44"/>
      <c r="N95" s="44"/>
      <c r="O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44"/>
      <c r="N96" s="44"/>
      <c r="O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44"/>
      <c r="N97" s="44"/>
      <c r="O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44"/>
      <c r="N98" s="44"/>
      <c r="O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44"/>
      <c r="N99" s="44"/>
      <c r="O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44"/>
      <c r="N100" s="44"/>
      <c r="O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44"/>
      <c r="N101" s="44"/>
      <c r="O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44"/>
      <c r="N102" s="44"/>
      <c r="O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44"/>
      <c r="N103" s="44"/>
      <c r="O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44"/>
      <c r="N104" s="44"/>
      <c r="O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44"/>
      <c r="N105" s="44"/>
      <c r="O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44"/>
      <c r="N106" s="44"/>
      <c r="O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44"/>
      <c r="N107" s="44"/>
      <c r="O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  <c r="M108" s="40" t="n">
        <f aca="false">SUM(M8:M107)</f>
        <v>0</v>
      </c>
      <c r="N108" s="40" t="n">
        <f aca="false">SUM(N8:N107)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</row>
  </sheetData>
  <mergeCells count="14">
    <mergeCell ref="A1:N3"/>
    <mergeCell ref="A4:N4"/>
    <mergeCell ref="A108:C108"/>
    <mergeCell ref="A110:N110"/>
    <mergeCell ref="A111:N111"/>
    <mergeCell ref="A112:N112"/>
    <mergeCell ref="A113:N113"/>
    <mergeCell ref="A114:N114"/>
    <mergeCell ref="A115:N115"/>
    <mergeCell ref="A116:N116"/>
    <mergeCell ref="A117:N117"/>
    <mergeCell ref="A118:N118"/>
    <mergeCell ref="A119:N119"/>
    <mergeCell ref="A120:N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true" outlineLevel="0" max="13" min="13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25.5" hidden="false" customHeight="true" outlineLevel="0" collapsed="false">
      <c r="A4" s="11" t="s">
        <v>47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above",IFERROR(ROWS(filter($M$8:$M$107,ISNUMBER(SEARCH($C$5,$M$8:$M$107))))&amp;"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—",IFERROR(INDEX(filter($M$8:$M$107,ISNUMBER(SEARCH($C$5,$M$8:$M$107)),"❌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—","—",INDEX($D$8:$D$107,MATCH($G$5,$M$8:$M$107,0)))),"—")</f>
        <v>—</v>
      </c>
      <c r="I5" s="20" t="str">
        <f aca="false">IFERROR(IF($G$5="❌ No Data Found","—",IF($G$5="— no active search —","—",INDEX($F$8:$F$107,MATCH($G$5,$M$8:$M$107,0)))),"—")</f>
        <v>—</v>
      </c>
      <c r="J5" s="21" t="str">
        <f aca="false">IFERROR(IF($G$5="❌ No Data Found","—",IF($G$5="— no active search —","—",INDEX($H$8:$H$107,MATCH($G$5,$M$8:$M$107,0)))),"—")</f>
        <v>—</v>
      </c>
      <c r="K5" s="22" t="str">
        <f aca="false">IFERROR(IF($G$5="❌ No Data Found","—",IF($G$5="— no active search —","—",INDEX($J$8:$J$107,MATCH($G$5,$M$8:$M$107,0)))),"—")</f>
        <v>—</v>
      </c>
      <c r="L5" s="23" t="str">
        <f aca="false">IFERROR(IF($G$5="❌ No Data Found","—",IF($G$5="— no active search —","—",INDEX($L$8:$L$107,MATCH($G$5,$M$8:$M$107,0)))),"—")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</sheetData>
  <mergeCells count="14">
    <mergeCell ref="A1:L3"/>
    <mergeCell ref="A4:L4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true" outlineLevel="0" max="13" min="13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25.5" hidden="false" customHeight="true" outlineLevel="0" collapsed="false">
      <c r="A4" s="11" t="s">
        <v>48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above",IFERROR(ROWS(filter($M$8:$M$107,ISNUMBER(SEARCH($C$5,$M$8:$M$107))))&amp;"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—",IFERROR(INDEX(filter($M$8:$M$107,ISNUMBER(SEARCH($C$5,$M$8:$M$107)),"❌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—","—",INDEX($D$8:$D$107,MATCH($G$5,$M$8:$M$107,0)))),"—")</f>
        <v>—</v>
      </c>
      <c r="I5" s="20" t="str">
        <f aca="false">IFERROR(IF($G$5="❌ No Data Found","—",IF($G$5="— no active search —","—",INDEX($F$8:$F$107,MATCH($G$5,$M$8:$M$107,0)))),"—")</f>
        <v>—</v>
      </c>
      <c r="J5" s="21" t="str">
        <f aca="false">IFERROR(IF($G$5="❌ No Data Found","—",IF($G$5="— no active search —","—",INDEX($H$8:$H$107,MATCH($G$5,$M$8:$M$107,0)))),"—")</f>
        <v>—</v>
      </c>
      <c r="K5" s="22" t="str">
        <f aca="false">IFERROR(IF($G$5="❌ No Data Found","—",IF($G$5="— no active search —","—",INDEX($J$8:$J$107,MATCH($G$5,$M$8:$M$107,0)))),"—")</f>
        <v>—</v>
      </c>
      <c r="L5" s="23" t="str">
        <f aca="false">IFERROR(IF($G$5="❌ No Data Found","—",IF($G$5="— no active search —","—",INDEX($L$8:$L$107,MATCH($G$5,$M$8:$M$107,0)))),"—")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</sheetData>
  <mergeCells count="14">
    <mergeCell ref="A1:L3"/>
    <mergeCell ref="A4:L4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true" outlineLevel="0" max="13" min="13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25.5" hidden="false" customHeight="true" outlineLevel="0" collapsed="false">
      <c r="A4" s="11" t="s">
        <v>49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above",IFERROR(ROWS(filter($M$8:$M$107,ISNUMBER(SEARCH($C$5,$M$8:$M$107))))&amp;"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—",IFERROR(INDEX(filter($M$8:$M$107,ISNUMBER(SEARCH($C$5,$M$8:$M$107)),"❌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—","—",INDEX($D$8:$D$107,MATCH($G$5,$M$8:$M$107,0)))),"—")</f>
        <v>—</v>
      </c>
      <c r="I5" s="20" t="str">
        <f aca="false">IFERROR(IF($G$5="❌ No Data Found","—",IF($G$5="— no active search —","—",INDEX($F$8:$F$107,MATCH($G$5,$M$8:$M$107,0)))),"—")</f>
        <v>—</v>
      </c>
      <c r="J5" s="21" t="str">
        <f aca="false">IFERROR(IF($G$5="❌ No Data Found","—",IF($G$5="— no active search —","—",INDEX($H$8:$H$107,MATCH($G$5,$M$8:$M$107,0)))),"—")</f>
        <v>—</v>
      </c>
      <c r="K5" s="22" t="str">
        <f aca="false">IFERROR(IF($G$5="❌ No Data Found","—",IF($G$5="— no active search —","—",INDEX($J$8:$J$107,MATCH($G$5,$M$8:$M$107,0)))),"—")</f>
        <v>—</v>
      </c>
      <c r="L5" s="23" t="str">
        <f aca="false">IFERROR(IF($G$5="❌ No Data Found","—",IF($G$5="— no active search —","—",INDEX($L$8:$L$107,MATCH($G$5,$M$8:$M$107,0)))),"—")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</sheetData>
  <mergeCells count="14">
    <mergeCell ref="A1:L3"/>
    <mergeCell ref="A4:L4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true" outlineLevel="0" max="13" min="13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25.5" hidden="false" customHeight="true" outlineLevel="0" collapsed="false">
      <c r="A4" s="11" t="s">
        <v>50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above",IFERROR(ROWS(filter($M$8:$M$107,ISNUMBER(SEARCH($C$5,$M$8:$M$107))))&amp;"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—",IFERROR(INDEX(filter($M$8:$M$107,ISNUMBER(SEARCH($C$5,$M$8:$M$107)),"❌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—","—",INDEX($D$8:$D$107,MATCH($G$5,$M$8:$M$107,0)))),"—")</f>
        <v>—</v>
      </c>
      <c r="I5" s="20" t="str">
        <f aca="false">IFERROR(IF($G$5="❌ No Data Found","—",IF($G$5="— no active search —","—",INDEX($F$8:$F$107,MATCH($G$5,$M$8:$M$107,0)))),"—")</f>
        <v>—</v>
      </c>
      <c r="J5" s="21" t="str">
        <f aca="false">IFERROR(IF($G$5="❌ No Data Found","—",IF($G$5="— no active search —","—",INDEX($H$8:$H$107,MATCH($G$5,$M$8:$M$107,0)))),"—")</f>
        <v>—</v>
      </c>
      <c r="K5" s="22" t="str">
        <f aca="false">IFERROR(IF($G$5="❌ No Data Found","—",IF($G$5="— no active search —","—",INDEX($J$8:$J$107,MATCH($G$5,$M$8:$M$107,0)))),"—")</f>
        <v>—</v>
      </c>
      <c r="L5" s="23" t="str">
        <f aca="false">IFERROR(IF($G$5="❌ No Data Found","—",IF($G$5="— no active search —","—",INDEX($L$8:$L$107,MATCH($G$5,$M$8:$M$107,0)))),"—")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</sheetData>
  <mergeCells count="14">
    <mergeCell ref="A1:L3"/>
    <mergeCell ref="A4:L4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true" outlineLevel="0" max="13" min="13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25.5" hidden="false" customHeight="true" outlineLevel="0" collapsed="false">
      <c r="A4" s="11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above",IFERROR(ROWS(filter($M$8:$M$107,ISNUMBER(SEARCH($C$5,$M$8:$M$107))))&amp;"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—",IFERROR(INDEX(filter($M$8:$M$107,ISNUMBER(SEARCH($C$5,$M$8:$M$107)),"❌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—","—",INDEX($D$8:$D$107,MATCH($G$5,$M$8:$M$107,0)))),"—")</f>
        <v>—</v>
      </c>
      <c r="I5" s="20" t="str">
        <f aca="false">IFERROR(IF($G$5="❌ No Data Found","—",IF($G$5="— no active search —","—",INDEX($F$8:$F$107,MATCH($G$5,$M$8:$M$107,0)))),"—")</f>
        <v>—</v>
      </c>
      <c r="J5" s="21" t="str">
        <f aca="false">IFERROR(IF($G$5="❌ No Data Found","—",IF($G$5="— no active search —","—",INDEX($H$8:$H$107,MATCH($G$5,$M$8:$M$107,0)))),"—")</f>
        <v>—</v>
      </c>
      <c r="K5" s="22" t="str">
        <f aca="false">IFERROR(IF($G$5="❌ No Data Found","—",IF($G$5="— no active search —","—",INDEX($J$8:$J$107,MATCH($G$5,$M$8:$M$107,0)))),"—")</f>
        <v>—</v>
      </c>
      <c r="L5" s="23" t="str">
        <f aca="false">IFERROR(IF($G$5="❌ No Data Found","—",IF($G$5="— no active search —","—",INDEX($L$8:$L$107,MATCH($G$5,$M$8:$M$107,0)))),"—")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</sheetData>
  <mergeCells count="14">
    <mergeCell ref="A1:L3"/>
    <mergeCell ref="A4:L4"/>
    <mergeCell ref="A108:C108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4" min="4" style="1" width="22"/>
    <col collapsed="false" customWidth="true" hidden="false" outlineLevel="0" max="5" min="5" style="1" width="32"/>
    <col collapsed="false" customWidth="true" hidden="false" outlineLevel="0" max="7" min="6" style="1" width="16"/>
    <col collapsed="false" customWidth="true" hidden="false" outlineLevel="0" max="8" min="8" style="1" width="2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true" outlineLevel="0" max="11" min="11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</row>
    <row r="4" customFormat="false" ht="19.5" hidden="false" customHeight="true" outlineLevel="0" collapsed="false">
      <c r="A4" s="11" t="s">
        <v>52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above",IFERROR(ROWS(filter($K$8:$K$107,ISNUMBER(SEARCH($C$5,$K$8:$K$107))))&amp;" match(es) found","❌ 0 found"))</f>
        <v>← type above</v>
      </c>
      <c r="E5" s="45" t="s">
        <v>17</v>
      </c>
      <c r="F5" s="46" t="n">
        <v>1</v>
      </c>
      <c r="G5" s="47" t="str">
        <f aca="false">IF($C$5="","— no active search —",IFERROR(INDEX(filter($K$8:$K$107,ISNUMBER(SEARCH($C$5,$K$8:$K$107)),"❌ No Data Found"),VALUE($F$5)),"❌ No Data Found"))</f>
        <v>— no active search —</v>
      </c>
      <c r="H5" s="19" t="str">
        <f aca="false">IFERROR(IF($G$5="❌ No Data Found","—",IF($G$5="— no active search —","—",INDEX($F$8:$F$107,MATCH($G$5,$K$8:$K$107,0)))),"—")</f>
        <v>—</v>
      </c>
      <c r="I5" s="20" t="str">
        <f aca="false">IFERROR(IF($G$5="❌ No Data Found","—",IF($G$5="— no active search —","—",INDEX($G$8:$G$107,MATCH($G$5,$K$8:$K$107,0)))),"—")</f>
        <v>—</v>
      </c>
      <c r="J5" s="48" t="str">
        <f aca="false">IFERROR(IF($G$5="❌ No Data Found","—",IF($G$5="— no active search —","—",INDEX($H$8:$H$107,MATCH($G$5,$K$8:$K$107,0)))),"—")</f>
        <v>—</v>
      </c>
      <c r="K5" s="49" t="str">
        <f aca="false">IFERROR(IF($G$5="❌ No Data Found","—",IF($G$5="— no active search —","—",INDEX($I$8:$I$107,MATCH($G$5,$K$8:$K$107,0)))),"—")</f>
        <v>—</v>
      </c>
    </row>
    <row r="6" customFormat="false" ht="7.5" hidden="false" customHeight="true" outlineLevel="0" collapsed="false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</row>
    <row r="7" customFormat="false" ht="37.5" hidden="false" customHeight="true" outlineLevel="0" collapsed="false">
      <c r="A7" s="25" t="s">
        <v>53</v>
      </c>
      <c r="B7" s="25" t="s">
        <v>54</v>
      </c>
      <c r="C7" s="25" t="s">
        <v>55</v>
      </c>
      <c r="D7" s="25" t="s">
        <v>56</v>
      </c>
      <c r="E7" s="25" t="s">
        <v>57</v>
      </c>
      <c r="F7" s="25" t="s">
        <v>58</v>
      </c>
      <c r="G7" s="25" t="s">
        <v>59</v>
      </c>
      <c r="H7" s="25" t="s">
        <v>60</v>
      </c>
      <c r="I7" s="25" t="s">
        <v>61</v>
      </c>
      <c r="J7" s="25" t="s">
        <v>62</v>
      </c>
      <c r="K7" s="26" t="s">
        <v>30</v>
      </c>
    </row>
    <row r="8" customFormat="false" ht="19.5" hidden="false" customHeight="true" outlineLevel="0" collapsed="false">
      <c r="A8" s="51"/>
      <c r="B8" s="28"/>
      <c r="C8" s="29" t="str">
        <f aca="false">IF(B8="","",TEXT(B8,"mmmm"))</f>
        <v/>
      </c>
      <c r="D8" s="44"/>
      <c r="E8" s="44"/>
      <c r="F8" s="30"/>
      <c r="G8" s="31" t="str">
        <f aca="false">IF(F8="","",F8*'Exchange Rate'!$E$5)</f>
        <v/>
      </c>
      <c r="H8" s="51"/>
      <c r="I8" s="51"/>
      <c r="J8" s="44"/>
      <c r="K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51"/>
      <c r="B9" s="28"/>
      <c r="C9" s="36" t="str">
        <f aca="false">IF(B9="","",TEXT(B9,"mmmm"))</f>
        <v/>
      </c>
      <c r="D9" s="44"/>
      <c r="E9" s="44"/>
      <c r="F9" s="30"/>
      <c r="G9" s="37" t="str">
        <f aca="false">IF(F9="","",F9*'Exchange Rate'!$E$5)</f>
        <v/>
      </c>
      <c r="H9" s="51"/>
      <c r="I9" s="51"/>
      <c r="J9" s="44"/>
      <c r="K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51"/>
      <c r="B10" s="28"/>
      <c r="C10" s="29" t="str">
        <f aca="false">IF(B10="","",TEXT(B10,"mmmm"))</f>
        <v/>
      </c>
      <c r="D10" s="44"/>
      <c r="E10" s="44"/>
      <c r="F10" s="30"/>
      <c r="G10" s="31" t="str">
        <f aca="false">IF(F10="","",F10*'Exchange Rate'!$E$5)</f>
        <v/>
      </c>
      <c r="H10" s="51"/>
      <c r="I10" s="51"/>
      <c r="J10" s="44"/>
      <c r="K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51"/>
      <c r="B11" s="28"/>
      <c r="C11" s="36" t="str">
        <f aca="false">IF(B11="","",TEXT(B11,"mmmm"))</f>
        <v/>
      </c>
      <c r="D11" s="44"/>
      <c r="E11" s="44"/>
      <c r="F11" s="30"/>
      <c r="G11" s="37" t="str">
        <f aca="false">IF(F11="","",F11*'Exchange Rate'!$E$5)</f>
        <v/>
      </c>
      <c r="H11" s="51"/>
      <c r="I11" s="51"/>
      <c r="J11" s="44"/>
      <c r="K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51"/>
      <c r="B12" s="28"/>
      <c r="C12" s="29" t="str">
        <f aca="false">IF(B12="","",TEXT(B12,"mmmm"))</f>
        <v/>
      </c>
      <c r="D12" s="44"/>
      <c r="E12" s="44"/>
      <c r="F12" s="30"/>
      <c r="G12" s="31" t="str">
        <f aca="false">IF(F12="","",F12*'Exchange Rate'!$E$5)</f>
        <v/>
      </c>
      <c r="H12" s="51"/>
      <c r="I12" s="51"/>
      <c r="J12" s="44"/>
      <c r="K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51"/>
      <c r="B13" s="28"/>
      <c r="C13" s="36" t="str">
        <f aca="false">IF(B13="","",TEXT(B13,"mmmm"))</f>
        <v/>
      </c>
      <c r="D13" s="44"/>
      <c r="E13" s="44"/>
      <c r="F13" s="30"/>
      <c r="G13" s="37" t="str">
        <f aca="false">IF(F13="","",F13*'Exchange Rate'!$E$5)</f>
        <v/>
      </c>
      <c r="H13" s="51"/>
      <c r="I13" s="51"/>
      <c r="J13" s="44"/>
      <c r="K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51"/>
      <c r="B14" s="28"/>
      <c r="C14" s="29" t="str">
        <f aca="false">IF(B14="","",TEXT(B14,"mmmm"))</f>
        <v/>
      </c>
      <c r="D14" s="44"/>
      <c r="E14" s="44"/>
      <c r="F14" s="30"/>
      <c r="G14" s="31" t="str">
        <f aca="false">IF(F14="","",F14*'Exchange Rate'!$E$5)</f>
        <v/>
      </c>
      <c r="H14" s="51"/>
      <c r="I14" s="51"/>
      <c r="J14" s="44"/>
      <c r="K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51"/>
      <c r="B15" s="28"/>
      <c r="C15" s="36" t="str">
        <f aca="false">IF(B15="","",TEXT(B15,"mmmm"))</f>
        <v/>
      </c>
      <c r="D15" s="44"/>
      <c r="E15" s="44"/>
      <c r="F15" s="30"/>
      <c r="G15" s="37" t="str">
        <f aca="false">IF(F15="","",F15*'Exchange Rate'!$E$5)</f>
        <v/>
      </c>
      <c r="H15" s="51"/>
      <c r="I15" s="51"/>
      <c r="J15" s="44"/>
      <c r="K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51"/>
      <c r="B16" s="28"/>
      <c r="C16" s="29" t="str">
        <f aca="false">IF(B16="","",TEXT(B16,"mmmm"))</f>
        <v/>
      </c>
      <c r="D16" s="44"/>
      <c r="E16" s="44"/>
      <c r="F16" s="30"/>
      <c r="G16" s="31" t="str">
        <f aca="false">IF(F16="","",F16*'Exchange Rate'!$E$5)</f>
        <v/>
      </c>
      <c r="H16" s="51"/>
      <c r="I16" s="51"/>
      <c r="J16" s="44"/>
      <c r="K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51"/>
      <c r="B17" s="28"/>
      <c r="C17" s="36" t="str">
        <f aca="false">IF(B17="","",TEXT(B17,"mmmm"))</f>
        <v/>
      </c>
      <c r="D17" s="44"/>
      <c r="E17" s="44"/>
      <c r="F17" s="30"/>
      <c r="G17" s="37" t="str">
        <f aca="false">IF(F17="","",F17*'Exchange Rate'!$E$5)</f>
        <v/>
      </c>
      <c r="H17" s="51"/>
      <c r="I17" s="51"/>
      <c r="J17" s="44"/>
      <c r="K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51"/>
      <c r="B18" s="28"/>
      <c r="C18" s="29" t="str">
        <f aca="false">IF(B18="","",TEXT(B18,"mmmm"))</f>
        <v/>
      </c>
      <c r="D18" s="44"/>
      <c r="E18" s="44"/>
      <c r="F18" s="30"/>
      <c r="G18" s="31" t="str">
        <f aca="false">IF(F18="","",F18*'Exchange Rate'!$E$5)</f>
        <v/>
      </c>
      <c r="H18" s="51"/>
      <c r="I18" s="51"/>
      <c r="J18" s="44"/>
      <c r="K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51"/>
      <c r="B19" s="28"/>
      <c r="C19" s="36" t="str">
        <f aca="false">IF(B19="","",TEXT(B19,"mmmm"))</f>
        <v/>
      </c>
      <c r="D19" s="44"/>
      <c r="E19" s="44"/>
      <c r="F19" s="30"/>
      <c r="G19" s="37" t="str">
        <f aca="false">IF(F19="","",F19*'Exchange Rate'!$E$5)</f>
        <v/>
      </c>
      <c r="H19" s="51"/>
      <c r="I19" s="51"/>
      <c r="J19" s="44"/>
      <c r="K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51"/>
      <c r="B20" s="28"/>
      <c r="C20" s="29" t="str">
        <f aca="false">IF(B20="","",TEXT(B20,"mmmm"))</f>
        <v/>
      </c>
      <c r="D20" s="44"/>
      <c r="E20" s="44"/>
      <c r="F20" s="30"/>
      <c r="G20" s="31" t="str">
        <f aca="false">IF(F20="","",F20*'Exchange Rate'!$E$5)</f>
        <v/>
      </c>
      <c r="H20" s="51"/>
      <c r="I20" s="51"/>
      <c r="J20" s="44"/>
      <c r="K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51"/>
      <c r="B21" s="28"/>
      <c r="C21" s="36" t="str">
        <f aca="false">IF(B21="","",TEXT(B21,"mmmm"))</f>
        <v/>
      </c>
      <c r="D21" s="44"/>
      <c r="E21" s="44"/>
      <c r="F21" s="30"/>
      <c r="G21" s="37" t="str">
        <f aca="false">IF(F21="","",F21*'Exchange Rate'!$E$5)</f>
        <v/>
      </c>
      <c r="H21" s="51"/>
      <c r="I21" s="51"/>
      <c r="J21" s="44"/>
      <c r="K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51"/>
      <c r="B22" s="28"/>
      <c r="C22" s="29" t="str">
        <f aca="false">IF(B22="","",TEXT(B22,"mmmm"))</f>
        <v/>
      </c>
      <c r="D22" s="44"/>
      <c r="E22" s="44"/>
      <c r="F22" s="30"/>
      <c r="G22" s="31" t="str">
        <f aca="false">IF(F22="","",F22*'Exchange Rate'!$E$5)</f>
        <v/>
      </c>
      <c r="H22" s="51"/>
      <c r="I22" s="51"/>
      <c r="J22" s="44"/>
      <c r="K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51"/>
      <c r="B23" s="28"/>
      <c r="C23" s="36" t="str">
        <f aca="false">IF(B23="","",TEXT(B23,"mmmm"))</f>
        <v/>
      </c>
      <c r="D23" s="44"/>
      <c r="E23" s="44"/>
      <c r="F23" s="30"/>
      <c r="G23" s="37" t="str">
        <f aca="false">IF(F23="","",F23*'Exchange Rate'!$E$5)</f>
        <v/>
      </c>
      <c r="H23" s="51"/>
      <c r="I23" s="51"/>
      <c r="J23" s="44"/>
      <c r="K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51"/>
      <c r="B24" s="28"/>
      <c r="C24" s="29" t="str">
        <f aca="false">IF(B24="","",TEXT(B24,"mmmm"))</f>
        <v/>
      </c>
      <c r="D24" s="44"/>
      <c r="E24" s="44"/>
      <c r="F24" s="30"/>
      <c r="G24" s="31" t="str">
        <f aca="false">IF(F24="","",F24*'Exchange Rate'!$E$5)</f>
        <v/>
      </c>
      <c r="H24" s="51"/>
      <c r="I24" s="51"/>
      <c r="J24" s="44"/>
      <c r="K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51"/>
      <c r="B25" s="28"/>
      <c r="C25" s="36" t="str">
        <f aca="false">IF(B25="","",TEXT(B25,"mmmm"))</f>
        <v/>
      </c>
      <c r="D25" s="44"/>
      <c r="E25" s="44"/>
      <c r="F25" s="30"/>
      <c r="G25" s="37" t="str">
        <f aca="false">IF(F25="","",F25*'Exchange Rate'!$E$5)</f>
        <v/>
      </c>
      <c r="H25" s="51"/>
      <c r="I25" s="51"/>
      <c r="J25" s="44"/>
      <c r="K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51"/>
      <c r="B26" s="28"/>
      <c r="C26" s="29" t="str">
        <f aca="false">IF(B26="","",TEXT(B26,"mmmm"))</f>
        <v/>
      </c>
      <c r="D26" s="44"/>
      <c r="E26" s="44"/>
      <c r="F26" s="30"/>
      <c r="G26" s="31" t="str">
        <f aca="false">IF(F26="","",F26*'Exchange Rate'!$E$5)</f>
        <v/>
      </c>
      <c r="H26" s="51"/>
      <c r="I26" s="51"/>
      <c r="J26" s="44"/>
      <c r="K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51"/>
      <c r="B27" s="28"/>
      <c r="C27" s="36" t="str">
        <f aca="false">IF(B27="","",TEXT(B27,"mmmm"))</f>
        <v/>
      </c>
      <c r="D27" s="44"/>
      <c r="E27" s="44"/>
      <c r="F27" s="30"/>
      <c r="G27" s="37" t="str">
        <f aca="false">IF(F27="","",F27*'Exchange Rate'!$E$5)</f>
        <v/>
      </c>
      <c r="H27" s="51"/>
      <c r="I27" s="51"/>
      <c r="J27" s="44"/>
      <c r="K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51"/>
      <c r="B28" s="28"/>
      <c r="C28" s="29" t="str">
        <f aca="false">IF(B28="","",TEXT(B28,"mmmm"))</f>
        <v/>
      </c>
      <c r="D28" s="44"/>
      <c r="E28" s="44"/>
      <c r="F28" s="30"/>
      <c r="G28" s="31" t="str">
        <f aca="false">IF(F28="","",F28*'Exchange Rate'!$E$5)</f>
        <v/>
      </c>
      <c r="H28" s="51"/>
      <c r="I28" s="51"/>
      <c r="J28" s="44"/>
      <c r="K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51"/>
      <c r="B29" s="28"/>
      <c r="C29" s="36" t="str">
        <f aca="false">IF(B29="","",TEXT(B29,"mmmm"))</f>
        <v/>
      </c>
      <c r="D29" s="44"/>
      <c r="E29" s="44"/>
      <c r="F29" s="30"/>
      <c r="G29" s="37" t="str">
        <f aca="false">IF(F29="","",F29*'Exchange Rate'!$E$5)</f>
        <v/>
      </c>
      <c r="H29" s="51"/>
      <c r="I29" s="51"/>
      <c r="J29" s="44"/>
      <c r="K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51"/>
      <c r="B30" s="28"/>
      <c r="C30" s="29" t="str">
        <f aca="false">IF(B30="","",TEXT(B30,"mmmm"))</f>
        <v/>
      </c>
      <c r="D30" s="44"/>
      <c r="E30" s="44"/>
      <c r="F30" s="30"/>
      <c r="G30" s="31" t="str">
        <f aca="false">IF(F30="","",F30*'Exchange Rate'!$E$5)</f>
        <v/>
      </c>
      <c r="H30" s="51"/>
      <c r="I30" s="51"/>
      <c r="J30" s="44"/>
      <c r="K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51"/>
      <c r="B31" s="28"/>
      <c r="C31" s="36" t="str">
        <f aca="false">IF(B31="","",TEXT(B31,"mmmm"))</f>
        <v/>
      </c>
      <c r="D31" s="44"/>
      <c r="E31" s="44"/>
      <c r="F31" s="30"/>
      <c r="G31" s="37" t="str">
        <f aca="false">IF(F31="","",F31*'Exchange Rate'!$E$5)</f>
        <v/>
      </c>
      <c r="H31" s="51"/>
      <c r="I31" s="51"/>
      <c r="J31" s="44"/>
      <c r="K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51"/>
      <c r="B32" s="28"/>
      <c r="C32" s="29" t="str">
        <f aca="false">IF(B32="","",TEXT(B32,"mmmm"))</f>
        <v/>
      </c>
      <c r="D32" s="44"/>
      <c r="E32" s="44"/>
      <c r="F32" s="30"/>
      <c r="G32" s="31" t="str">
        <f aca="false">IF(F32="","",F32*'Exchange Rate'!$E$5)</f>
        <v/>
      </c>
      <c r="H32" s="51"/>
      <c r="I32" s="51"/>
      <c r="J32" s="44"/>
      <c r="K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51"/>
      <c r="B33" s="28"/>
      <c r="C33" s="36" t="str">
        <f aca="false">IF(B33="","",TEXT(B33,"mmmm"))</f>
        <v/>
      </c>
      <c r="D33" s="44"/>
      <c r="E33" s="44"/>
      <c r="F33" s="30"/>
      <c r="G33" s="37" t="str">
        <f aca="false">IF(F33="","",F33*'Exchange Rate'!$E$5)</f>
        <v/>
      </c>
      <c r="H33" s="51"/>
      <c r="I33" s="51"/>
      <c r="J33" s="44"/>
      <c r="K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51"/>
      <c r="B34" s="28"/>
      <c r="C34" s="29" t="str">
        <f aca="false">IF(B34="","",TEXT(B34,"mmmm"))</f>
        <v/>
      </c>
      <c r="D34" s="44"/>
      <c r="E34" s="44"/>
      <c r="F34" s="30"/>
      <c r="G34" s="31" t="str">
        <f aca="false">IF(F34="","",F34*'Exchange Rate'!$E$5)</f>
        <v/>
      </c>
      <c r="H34" s="51"/>
      <c r="I34" s="51"/>
      <c r="J34" s="44"/>
      <c r="K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51"/>
      <c r="B35" s="28"/>
      <c r="C35" s="36" t="str">
        <f aca="false">IF(B35="","",TEXT(B35,"mmmm"))</f>
        <v/>
      </c>
      <c r="D35" s="44"/>
      <c r="E35" s="44"/>
      <c r="F35" s="30"/>
      <c r="G35" s="37" t="str">
        <f aca="false">IF(F35="","",F35*'Exchange Rate'!$E$5)</f>
        <v/>
      </c>
      <c r="H35" s="51"/>
      <c r="I35" s="51"/>
      <c r="J35" s="44"/>
      <c r="K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51"/>
      <c r="B36" s="28"/>
      <c r="C36" s="29" t="str">
        <f aca="false">IF(B36="","",TEXT(B36,"mmmm"))</f>
        <v/>
      </c>
      <c r="D36" s="44"/>
      <c r="E36" s="44"/>
      <c r="F36" s="30"/>
      <c r="G36" s="31" t="str">
        <f aca="false">IF(F36="","",F36*'Exchange Rate'!$E$5)</f>
        <v/>
      </c>
      <c r="H36" s="51"/>
      <c r="I36" s="51"/>
      <c r="J36" s="44"/>
      <c r="K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51"/>
      <c r="B37" s="28"/>
      <c r="C37" s="36" t="str">
        <f aca="false">IF(B37="","",TEXT(B37,"mmmm"))</f>
        <v/>
      </c>
      <c r="D37" s="44"/>
      <c r="E37" s="44"/>
      <c r="F37" s="30"/>
      <c r="G37" s="37" t="str">
        <f aca="false">IF(F37="","",F37*'Exchange Rate'!$E$5)</f>
        <v/>
      </c>
      <c r="H37" s="51"/>
      <c r="I37" s="51"/>
      <c r="J37" s="44"/>
      <c r="K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51"/>
      <c r="B38" s="28"/>
      <c r="C38" s="29" t="str">
        <f aca="false">IF(B38="","",TEXT(B38,"mmmm"))</f>
        <v/>
      </c>
      <c r="D38" s="44"/>
      <c r="E38" s="44"/>
      <c r="F38" s="30"/>
      <c r="G38" s="31" t="str">
        <f aca="false">IF(F38="","",F38*'Exchange Rate'!$E$5)</f>
        <v/>
      </c>
      <c r="H38" s="51"/>
      <c r="I38" s="51"/>
      <c r="J38" s="44"/>
      <c r="K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51"/>
      <c r="B39" s="28"/>
      <c r="C39" s="36" t="str">
        <f aca="false">IF(B39="","",TEXT(B39,"mmmm"))</f>
        <v/>
      </c>
      <c r="D39" s="44"/>
      <c r="E39" s="44"/>
      <c r="F39" s="30"/>
      <c r="G39" s="37" t="str">
        <f aca="false">IF(F39="","",F39*'Exchange Rate'!$E$5)</f>
        <v/>
      </c>
      <c r="H39" s="51"/>
      <c r="I39" s="51"/>
      <c r="J39" s="44"/>
      <c r="K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51"/>
      <c r="B40" s="28"/>
      <c r="C40" s="29" t="str">
        <f aca="false">IF(B40="","",TEXT(B40,"mmmm"))</f>
        <v/>
      </c>
      <c r="D40" s="44"/>
      <c r="E40" s="44"/>
      <c r="F40" s="30"/>
      <c r="G40" s="31" t="str">
        <f aca="false">IF(F40="","",F40*'Exchange Rate'!$E$5)</f>
        <v/>
      </c>
      <c r="H40" s="51"/>
      <c r="I40" s="51"/>
      <c r="J40" s="44"/>
      <c r="K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51"/>
      <c r="B41" s="28"/>
      <c r="C41" s="36" t="str">
        <f aca="false">IF(B41="","",TEXT(B41,"mmmm"))</f>
        <v/>
      </c>
      <c r="D41" s="44"/>
      <c r="E41" s="44"/>
      <c r="F41" s="30"/>
      <c r="G41" s="37" t="str">
        <f aca="false">IF(F41="","",F41*'Exchange Rate'!$E$5)</f>
        <v/>
      </c>
      <c r="H41" s="51"/>
      <c r="I41" s="51"/>
      <c r="J41" s="44"/>
      <c r="K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51"/>
      <c r="B42" s="28"/>
      <c r="C42" s="29" t="str">
        <f aca="false">IF(B42="","",TEXT(B42,"mmmm"))</f>
        <v/>
      </c>
      <c r="D42" s="44"/>
      <c r="E42" s="44"/>
      <c r="F42" s="30"/>
      <c r="G42" s="31" t="str">
        <f aca="false">IF(F42="","",F42*'Exchange Rate'!$E$5)</f>
        <v/>
      </c>
      <c r="H42" s="51"/>
      <c r="I42" s="51"/>
      <c r="J42" s="44"/>
      <c r="K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51"/>
      <c r="B43" s="28"/>
      <c r="C43" s="36" t="str">
        <f aca="false">IF(B43="","",TEXT(B43,"mmmm"))</f>
        <v/>
      </c>
      <c r="D43" s="44"/>
      <c r="E43" s="44"/>
      <c r="F43" s="30"/>
      <c r="G43" s="37" t="str">
        <f aca="false">IF(F43="","",F43*'Exchange Rate'!$E$5)</f>
        <v/>
      </c>
      <c r="H43" s="51"/>
      <c r="I43" s="51"/>
      <c r="J43" s="44"/>
      <c r="K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51"/>
      <c r="B44" s="28"/>
      <c r="C44" s="29" t="str">
        <f aca="false">IF(B44="","",TEXT(B44,"mmmm"))</f>
        <v/>
      </c>
      <c r="D44" s="44"/>
      <c r="E44" s="44"/>
      <c r="F44" s="30"/>
      <c r="G44" s="31" t="str">
        <f aca="false">IF(F44="","",F44*'Exchange Rate'!$E$5)</f>
        <v/>
      </c>
      <c r="H44" s="51"/>
      <c r="I44" s="51"/>
      <c r="J44" s="44"/>
      <c r="K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51"/>
      <c r="B45" s="28"/>
      <c r="C45" s="36" t="str">
        <f aca="false">IF(B45="","",TEXT(B45,"mmmm"))</f>
        <v/>
      </c>
      <c r="D45" s="44"/>
      <c r="E45" s="44"/>
      <c r="F45" s="30"/>
      <c r="G45" s="37" t="str">
        <f aca="false">IF(F45="","",F45*'Exchange Rate'!$E$5)</f>
        <v/>
      </c>
      <c r="H45" s="51"/>
      <c r="I45" s="51"/>
      <c r="J45" s="44"/>
      <c r="K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51"/>
      <c r="B46" s="28"/>
      <c r="C46" s="29" t="str">
        <f aca="false">IF(B46="","",TEXT(B46,"mmmm"))</f>
        <v/>
      </c>
      <c r="D46" s="44"/>
      <c r="E46" s="44"/>
      <c r="F46" s="30"/>
      <c r="G46" s="31" t="str">
        <f aca="false">IF(F46="","",F46*'Exchange Rate'!$E$5)</f>
        <v/>
      </c>
      <c r="H46" s="51"/>
      <c r="I46" s="51"/>
      <c r="J46" s="44"/>
      <c r="K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51"/>
      <c r="B47" s="28"/>
      <c r="C47" s="36" t="str">
        <f aca="false">IF(B47="","",TEXT(B47,"mmmm"))</f>
        <v/>
      </c>
      <c r="D47" s="44"/>
      <c r="E47" s="44"/>
      <c r="F47" s="30"/>
      <c r="G47" s="37" t="str">
        <f aca="false">IF(F47="","",F47*'Exchange Rate'!$E$5)</f>
        <v/>
      </c>
      <c r="H47" s="51"/>
      <c r="I47" s="51"/>
      <c r="J47" s="44"/>
      <c r="K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51"/>
      <c r="B48" s="28"/>
      <c r="C48" s="29" t="str">
        <f aca="false">IF(B48="","",TEXT(B48,"mmmm"))</f>
        <v/>
      </c>
      <c r="D48" s="44"/>
      <c r="E48" s="44"/>
      <c r="F48" s="30"/>
      <c r="G48" s="31" t="str">
        <f aca="false">IF(F48="","",F48*'Exchange Rate'!$E$5)</f>
        <v/>
      </c>
      <c r="H48" s="51"/>
      <c r="I48" s="51"/>
      <c r="J48" s="44"/>
      <c r="K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51"/>
      <c r="B49" s="28"/>
      <c r="C49" s="36" t="str">
        <f aca="false">IF(B49="","",TEXT(B49,"mmmm"))</f>
        <v/>
      </c>
      <c r="D49" s="44"/>
      <c r="E49" s="44"/>
      <c r="F49" s="30"/>
      <c r="G49" s="37" t="str">
        <f aca="false">IF(F49="","",F49*'Exchange Rate'!$E$5)</f>
        <v/>
      </c>
      <c r="H49" s="51"/>
      <c r="I49" s="51"/>
      <c r="J49" s="44"/>
      <c r="K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51"/>
      <c r="B50" s="28"/>
      <c r="C50" s="29" t="str">
        <f aca="false">IF(B50="","",TEXT(B50,"mmmm"))</f>
        <v/>
      </c>
      <c r="D50" s="44"/>
      <c r="E50" s="44"/>
      <c r="F50" s="30"/>
      <c r="G50" s="31" t="str">
        <f aca="false">IF(F50="","",F50*'Exchange Rate'!$E$5)</f>
        <v/>
      </c>
      <c r="H50" s="51"/>
      <c r="I50" s="51"/>
      <c r="J50" s="44"/>
      <c r="K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51"/>
      <c r="B51" s="28"/>
      <c r="C51" s="36" t="str">
        <f aca="false">IF(B51="","",TEXT(B51,"mmmm"))</f>
        <v/>
      </c>
      <c r="D51" s="44"/>
      <c r="E51" s="44"/>
      <c r="F51" s="30"/>
      <c r="G51" s="37" t="str">
        <f aca="false">IF(F51="","",F51*'Exchange Rate'!$E$5)</f>
        <v/>
      </c>
      <c r="H51" s="51"/>
      <c r="I51" s="51"/>
      <c r="J51" s="44"/>
      <c r="K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51"/>
      <c r="B52" s="28"/>
      <c r="C52" s="29" t="str">
        <f aca="false">IF(B52="","",TEXT(B52,"mmmm"))</f>
        <v/>
      </c>
      <c r="D52" s="44"/>
      <c r="E52" s="44"/>
      <c r="F52" s="30"/>
      <c r="G52" s="31" t="str">
        <f aca="false">IF(F52="","",F52*'Exchange Rate'!$E$5)</f>
        <v/>
      </c>
      <c r="H52" s="51"/>
      <c r="I52" s="51"/>
      <c r="J52" s="44"/>
      <c r="K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51"/>
      <c r="B53" s="28"/>
      <c r="C53" s="36" t="str">
        <f aca="false">IF(B53="","",TEXT(B53,"mmmm"))</f>
        <v/>
      </c>
      <c r="D53" s="44"/>
      <c r="E53" s="44"/>
      <c r="F53" s="30"/>
      <c r="G53" s="37" t="str">
        <f aca="false">IF(F53="","",F53*'Exchange Rate'!$E$5)</f>
        <v/>
      </c>
      <c r="H53" s="51"/>
      <c r="I53" s="51"/>
      <c r="J53" s="44"/>
      <c r="K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51"/>
      <c r="B54" s="28"/>
      <c r="C54" s="29" t="str">
        <f aca="false">IF(B54="","",TEXT(B54,"mmmm"))</f>
        <v/>
      </c>
      <c r="D54" s="44"/>
      <c r="E54" s="44"/>
      <c r="F54" s="30"/>
      <c r="G54" s="31" t="str">
        <f aca="false">IF(F54="","",F54*'Exchange Rate'!$E$5)</f>
        <v/>
      </c>
      <c r="H54" s="51"/>
      <c r="I54" s="51"/>
      <c r="J54" s="44"/>
      <c r="K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51"/>
      <c r="B55" s="28"/>
      <c r="C55" s="36" t="str">
        <f aca="false">IF(B55="","",TEXT(B55,"mmmm"))</f>
        <v/>
      </c>
      <c r="D55" s="44"/>
      <c r="E55" s="44"/>
      <c r="F55" s="30"/>
      <c r="G55" s="37" t="str">
        <f aca="false">IF(F55="","",F55*'Exchange Rate'!$E$5)</f>
        <v/>
      </c>
      <c r="H55" s="51"/>
      <c r="I55" s="51"/>
      <c r="J55" s="44"/>
      <c r="K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51"/>
      <c r="B56" s="28"/>
      <c r="C56" s="29" t="str">
        <f aca="false">IF(B56="","",TEXT(B56,"mmmm"))</f>
        <v/>
      </c>
      <c r="D56" s="44"/>
      <c r="E56" s="44"/>
      <c r="F56" s="30"/>
      <c r="G56" s="31" t="str">
        <f aca="false">IF(F56="","",F56*'Exchange Rate'!$E$5)</f>
        <v/>
      </c>
      <c r="H56" s="51"/>
      <c r="I56" s="51"/>
      <c r="J56" s="44"/>
      <c r="K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51"/>
      <c r="B57" s="28"/>
      <c r="C57" s="36" t="str">
        <f aca="false">IF(B57="","",TEXT(B57,"mmmm"))</f>
        <v/>
      </c>
      <c r="D57" s="44"/>
      <c r="E57" s="44"/>
      <c r="F57" s="30"/>
      <c r="G57" s="37" t="str">
        <f aca="false">IF(F57="","",F57*'Exchange Rate'!$E$5)</f>
        <v/>
      </c>
      <c r="H57" s="51"/>
      <c r="I57" s="51"/>
      <c r="J57" s="44"/>
      <c r="K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51"/>
      <c r="B58" s="28"/>
      <c r="C58" s="29" t="str">
        <f aca="false">IF(B58="","",TEXT(B58,"mmmm"))</f>
        <v/>
      </c>
      <c r="D58" s="44"/>
      <c r="E58" s="44"/>
      <c r="F58" s="30"/>
      <c r="G58" s="31" t="str">
        <f aca="false">IF(F58="","",F58*'Exchange Rate'!$E$5)</f>
        <v/>
      </c>
      <c r="H58" s="51"/>
      <c r="I58" s="51"/>
      <c r="J58" s="44"/>
      <c r="K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51"/>
      <c r="B59" s="28"/>
      <c r="C59" s="36" t="str">
        <f aca="false">IF(B59="","",TEXT(B59,"mmmm"))</f>
        <v/>
      </c>
      <c r="D59" s="44"/>
      <c r="E59" s="44"/>
      <c r="F59" s="30"/>
      <c r="G59" s="37" t="str">
        <f aca="false">IF(F59="","",F59*'Exchange Rate'!$E$5)</f>
        <v/>
      </c>
      <c r="H59" s="51"/>
      <c r="I59" s="51"/>
      <c r="J59" s="44"/>
      <c r="K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51"/>
      <c r="B60" s="28"/>
      <c r="C60" s="29" t="str">
        <f aca="false">IF(B60="","",TEXT(B60,"mmmm"))</f>
        <v/>
      </c>
      <c r="D60" s="44"/>
      <c r="E60" s="44"/>
      <c r="F60" s="30"/>
      <c r="G60" s="31" t="str">
        <f aca="false">IF(F60="","",F60*'Exchange Rate'!$E$5)</f>
        <v/>
      </c>
      <c r="H60" s="51"/>
      <c r="I60" s="51"/>
      <c r="J60" s="44"/>
      <c r="K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51"/>
      <c r="B61" s="28"/>
      <c r="C61" s="36" t="str">
        <f aca="false">IF(B61="","",TEXT(B61,"mmmm"))</f>
        <v/>
      </c>
      <c r="D61" s="44"/>
      <c r="E61" s="44"/>
      <c r="F61" s="30"/>
      <c r="G61" s="37" t="str">
        <f aca="false">IF(F61="","",F61*'Exchange Rate'!$E$5)</f>
        <v/>
      </c>
      <c r="H61" s="51"/>
      <c r="I61" s="51"/>
      <c r="J61" s="44"/>
      <c r="K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51"/>
      <c r="B62" s="28"/>
      <c r="C62" s="29" t="str">
        <f aca="false">IF(B62="","",TEXT(B62,"mmmm"))</f>
        <v/>
      </c>
      <c r="D62" s="44"/>
      <c r="E62" s="44"/>
      <c r="F62" s="30"/>
      <c r="G62" s="31" t="str">
        <f aca="false">IF(F62="","",F62*'Exchange Rate'!$E$5)</f>
        <v/>
      </c>
      <c r="H62" s="51"/>
      <c r="I62" s="51"/>
      <c r="J62" s="44"/>
      <c r="K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51"/>
      <c r="B63" s="28"/>
      <c r="C63" s="36" t="str">
        <f aca="false">IF(B63="","",TEXT(B63,"mmmm"))</f>
        <v/>
      </c>
      <c r="D63" s="44"/>
      <c r="E63" s="44"/>
      <c r="F63" s="30"/>
      <c r="G63" s="37" t="str">
        <f aca="false">IF(F63="","",F63*'Exchange Rate'!$E$5)</f>
        <v/>
      </c>
      <c r="H63" s="51"/>
      <c r="I63" s="51"/>
      <c r="J63" s="44"/>
      <c r="K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51"/>
      <c r="B64" s="28"/>
      <c r="C64" s="29" t="str">
        <f aca="false">IF(B64="","",TEXT(B64,"mmmm"))</f>
        <v/>
      </c>
      <c r="D64" s="44"/>
      <c r="E64" s="44"/>
      <c r="F64" s="30"/>
      <c r="G64" s="31" t="str">
        <f aca="false">IF(F64="","",F64*'Exchange Rate'!$E$5)</f>
        <v/>
      </c>
      <c r="H64" s="51"/>
      <c r="I64" s="51"/>
      <c r="J64" s="44"/>
      <c r="K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51"/>
      <c r="B65" s="28"/>
      <c r="C65" s="36" t="str">
        <f aca="false">IF(B65="","",TEXT(B65,"mmmm"))</f>
        <v/>
      </c>
      <c r="D65" s="44"/>
      <c r="E65" s="44"/>
      <c r="F65" s="30"/>
      <c r="G65" s="37" t="str">
        <f aca="false">IF(F65="","",F65*'Exchange Rate'!$E$5)</f>
        <v/>
      </c>
      <c r="H65" s="51"/>
      <c r="I65" s="51"/>
      <c r="J65" s="44"/>
      <c r="K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51"/>
      <c r="B66" s="28"/>
      <c r="C66" s="29" t="str">
        <f aca="false">IF(B66="","",TEXT(B66,"mmmm"))</f>
        <v/>
      </c>
      <c r="D66" s="44"/>
      <c r="E66" s="44"/>
      <c r="F66" s="30"/>
      <c r="G66" s="31" t="str">
        <f aca="false">IF(F66="","",F66*'Exchange Rate'!$E$5)</f>
        <v/>
      </c>
      <c r="H66" s="51"/>
      <c r="I66" s="51"/>
      <c r="J66" s="44"/>
      <c r="K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51"/>
      <c r="B67" s="28"/>
      <c r="C67" s="36" t="str">
        <f aca="false">IF(B67="","",TEXT(B67,"mmmm"))</f>
        <v/>
      </c>
      <c r="D67" s="44"/>
      <c r="E67" s="44"/>
      <c r="F67" s="30"/>
      <c r="G67" s="37" t="str">
        <f aca="false">IF(F67="","",F67*'Exchange Rate'!$E$5)</f>
        <v/>
      </c>
      <c r="H67" s="51"/>
      <c r="I67" s="51"/>
      <c r="J67" s="44"/>
      <c r="K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51"/>
      <c r="B68" s="28"/>
      <c r="C68" s="29" t="str">
        <f aca="false">IF(B68="","",TEXT(B68,"mmmm"))</f>
        <v/>
      </c>
      <c r="D68" s="44"/>
      <c r="E68" s="44"/>
      <c r="F68" s="30"/>
      <c r="G68" s="31" t="str">
        <f aca="false">IF(F68="","",F68*'Exchange Rate'!$E$5)</f>
        <v/>
      </c>
      <c r="H68" s="51"/>
      <c r="I68" s="51"/>
      <c r="J68" s="44"/>
      <c r="K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51"/>
      <c r="B69" s="28"/>
      <c r="C69" s="36" t="str">
        <f aca="false">IF(B69="","",TEXT(B69,"mmmm"))</f>
        <v/>
      </c>
      <c r="D69" s="44"/>
      <c r="E69" s="44"/>
      <c r="F69" s="30"/>
      <c r="G69" s="37" t="str">
        <f aca="false">IF(F69="","",F69*'Exchange Rate'!$E$5)</f>
        <v/>
      </c>
      <c r="H69" s="51"/>
      <c r="I69" s="51"/>
      <c r="J69" s="44"/>
      <c r="K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51"/>
      <c r="B70" s="28"/>
      <c r="C70" s="29" t="str">
        <f aca="false">IF(B70="","",TEXT(B70,"mmmm"))</f>
        <v/>
      </c>
      <c r="D70" s="44"/>
      <c r="E70" s="44"/>
      <c r="F70" s="30"/>
      <c r="G70" s="31" t="str">
        <f aca="false">IF(F70="","",F70*'Exchange Rate'!$E$5)</f>
        <v/>
      </c>
      <c r="H70" s="51"/>
      <c r="I70" s="51"/>
      <c r="J70" s="44"/>
      <c r="K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51"/>
      <c r="B71" s="28"/>
      <c r="C71" s="36" t="str">
        <f aca="false">IF(B71="","",TEXT(B71,"mmmm"))</f>
        <v/>
      </c>
      <c r="D71" s="44"/>
      <c r="E71" s="44"/>
      <c r="F71" s="30"/>
      <c r="G71" s="37" t="str">
        <f aca="false">IF(F71="","",F71*'Exchange Rate'!$E$5)</f>
        <v/>
      </c>
      <c r="H71" s="51"/>
      <c r="I71" s="51"/>
      <c r="J71" s="44"/>
      <c r="K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51"/>
      <c r="B72" s="28"/>
      <c r="C72" s="29" t="str">
        <f aca="false">IF(B72="","",TEXT(B72,"mmmm"))</f>
        <v/>
      </c>
      <c r="D72" s="44"/>
      <c r="E72" s="44"/>
      <c r="F72" s="30"/>
      <c r="G72" s="31" t="str">
        <f aca="false">IF(F72="","",F72*'Exchange Rate'!$E$5)</f>
        <v/>
      </c>
      <c r="H72" s="51"/>
      <c r="I72" s="51"/>
      <c r="J72" s="44"/>
      <c r="K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51"/>
      <c r="B73" s="28"/>
      <c r="C73" s="36" t="str">
        <f aca="false">IF(B73="","",TEXT(B73,"mmmm"))</f>
        <v/>
      </c>
      <c r="D73" s="44"/>
      <c r="E73" s="44"/>
      <c r="F73" s="30"/>
      <c r="G73" s="37" t="str">
        <f aca="false">IF(F73="","",F73*'Exchange Rate'!$E$5)</f>
        <v/>
      </c>
      <c r="H73" s="51"/>
      <c r="I73" s="51"/>
      <c r="J73" s="44"/>
      <c r="K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51"/>
      <c r="B74" s="28"/>
      <c r="C74" s="29" t="str">
        <f aca="false">IF(B74="","",TEXT(B74,"mmmm"))</f>
        <v/>
      </c>
      <c r="D74" s="44"/>
      <c r="E74" s="44"/>
      <c r="F74" s="30"/>
      <c r="G74" s="31" t="str">
        <f aca="false">IF(F74="","",F74*'Exchange Rate'!$E$5)</f>
        <v/>
      </c>
      <c r="H74" s="51"/>
      <c r="I74" s="51"/>
      <c r="J74" s="44"/>
      <c r="K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51"/>
      <c r="B75" s="28"/>
      <c r="C75" s="36" t="str">
        <f aca="false">IF(B75="","",TEXT(B75,"mmmm"))</f>
        <v/>
      </c>
      <c r="D75" s="44"/>
      <c r="E75" s="44"/>
      <c r="F75" s="30"/>
      <c r="G75" s="37" t="str">
        <f aca="false">IF(F75="","",F75*'Exchange Rate'!$E$5)</f>
        <v/>
      </c>
      <c r="H75" s="51"/>
      <c r="I75" s="51"/>
      <c r="J75" s="44"/>
      <c r="K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51"/>
      <c r="B76" s="28"/>
      <c r="C76" s="29" t="str">
        <f aca="false">IF(B76="","",TEXT(B76,"mmmm"))</f>
        <v/>
      </c>
      <c r="D76" s="44"/>
      <c r="E76" s="44"/>
      <c r="F76" s="30"/>
      <c r="G76" s="31" t="str">
        <f aca="false">IF(F76="","",F76*'Exchange Rate'!$E$5)</f>
        <v/>
      </c>
      <c r="H76" s="51"/>
      <c r="I76" s="51"/>
      <c r="J76" s="44"/>
      <c r="K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51"/>
      <c r="B77" s="28"/>
      <c r="C77" s="36" t="str">
        <f aca="false">IF(B77="","",TEXT(B77,"mmmm"))</f>
        <v/>
      </c>
      <c r="D77" s="44"/>
      <c r="E77" s="44"/>
      <c r="F77" s="30"/>
      <c r="G77" s="37" t="str">
        <f aca="false">IF(F77="","",F77*'Exchange Rate'!$E$5)</f>
        <v/>
      </c>
      <c r="H77" s="51"/>
      <c r="I77" s="51"/>
      <c r="J77" s="44"/>
      <c r="K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51"/>
      <c r="B78" s="28"/>
      <c r="C78" s="29" t="str">
        <f aca="false">IF(B78="","",TEXT(B78,"mmmm"))</f>
        <v/>
      </c>
      <c r="D78" s="44"/>
      <c r="E78" s="44"/>
      <c r="F78" s="30"/>
      <c r="G78" s="31" t="str">
        <f aca="false">IF(F78="","",F78*'Exchange Rate'!$E$5)</f>
        <v/>
      </c>
      <c r="H78" s="51"/>
      <c r="I78" s="51"/>
      <c r="J78" s="44"/>
      <c r="K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51"/>
      <c r="B79" s="28"/>
      <c r="C79" s="36" t="str">
        <f aca="false">IF(B79="","",TEXT(B79,"mmmm"))</f>
        <v/>
      </c>
      <c r="D79" s="44"/>
      <c r="E79" s="44"/>
      <c r="F79" s="30"/>
      <c r="G79" s="37" t="str">
        <f aca="false">IF(F79="","",F79*'Exchange Rate'!$E$5)</f>
        <v/>
      </c>
      <c r="H79" s="51"/>
      <c r="I79" s="51"/>
      <c r="J79" s="44"/>
      <c r="K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51"/>
      <c r="B80" s="28"/>
      <c r="C80" s="29" t="str">
        <f aca="false">IF(B80="","",TEXT(B80,"mmmm"))</f>
        <v/>
      </c>
      <c r="D80" s="44"/>
      <c r="E80" s="44"/>
      <c r="F80" s="30"/>
      <c r="G80" s="31" t="str">
        <f aca="false">IF(F80="","",F80*'Exchange Rate'!$E$5)</f>
        <v/>
      </c>
      <c r="H80" s="51"/>
      <c r="I80" s="51"/>
      <c r="J80" s="44"/>
      <c r="K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51"/>
      <c r="B81" s="28"/>
      <c r="C81" s="36" t="str">
        <f aca="false">IF(B81="","",TEXT(B81,"mmmm"))</f>
        <v/>
      </c>
      <c r="D81" s="44"/>
      <c r="E81" s="44"/>
      <c r="F81" s="30"/>
      <c r="G81" s="37" t="str">
        <f aca="false">IF(F81="","",F81*'Exchange Rate'!$E$5)</f>
        <v/>
      </c>
      <c r="H81" s="51"/>
      <c r="I81" s="51"/>
      <c r="J81" s="44"/>
      <c r="K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51"/>
      <c r="B82" s="28"/>
      <c r="C82" s="29" t="str">
        <f aca="false">IF(B82="","",TEXT(B82,"mmmm"))</f>
        <v/>
      </c>
      <c r="D82" s="44"/>
      <c r="E82" s="44"/>
      <c r="F82" s="30"/>
      <c r="G82" s="31" t="str">
        <f aca="false">IF(F82="","",F82*'Exchange Rate'!$E$5)</f>
        <v/>
      </c>
      <c r="H82" s="51"/>
      <c r="I82" s="51"/>
      <c r="J82" s="44"/>
      <c r="K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51"/>
      <c r="B83" s="28"/>
      <c r="C83" s="36" t="str">
        <f aca="false">IF(B83="","",TEXT(B83,"mmmm"))</f>
        <v/>
      </c>
      <c r="D83" s="44"/>
      <c r="E83" s="44"/>
      <c r="F83" s="30"/>
      <c r="G83" s="37" t="str">
        <f aca="false">IF(F83="","",F83*'Exchange Rate'!$E$5)</f>
        <v/>
      </c>
      <c r="H83" s="51"/>
      <c r="I83" s="51"/>
      <c r="J83" s="44"/>
      <c r="K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51"/>
      <c r="B84" s="28"/>
      <c r="C84" s="29" t="str">
        <f aca="false">IF(B84="","",TEXT(B84,"mmmm"))</f>
        <v/>
      </c>
      <c r="D84" s="44"/>
      <c r="E84" s="44"/>
      <c r="F84" s="30"/>
      <c r="G84" s="31" t="str">
        <f aca="false">IF(F84="","",F84*'Exchange Rate'!$E$5)</f>
        <v/>
      </c>
      <c r="H84" s="51"/>
      <c r="I84" s="51"/>
      <c r="J84" s="44"/>
      <c r="K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51"/>
      <c r="B85" s="28"/>
      <c r="C85" s="36" t="str">
        <f aca="false">IF(B85="","",TEXT(B85,"mmmm"))</f>
        <v/>
      </c>
      <c r="D85" s="44"/>
      <c r="E85" s="44"/>
      <c r="F85" s="30"/>
      <c r="G85" s="37" t="str">
        <f aca="false">IF(F85="","",F85*'Exchange Rate'!$E$5)</f>
        <v/>
      </c>
      <c r="H85" s="51"/>
      <c r="I85" s="51"/>
      <c r="J85" s="44"/>
      <c r="K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51"/>
      <c r="B86" s="28"/>
      <c r="C86" s="29" t="str">
        <f aca="false">IF(B86="","",TEXT(B86,"mmmm"))</f>
        <v/>
      </c>
      <c r="D86" s="44"/>
      <c r="E86" s="44"/>
      <c r="F86" s="30"/>
      <c r="G86" s="31" t="str">
        <f aca="false">IF(F86="","",F86*'Exchange Rate'!$E$5)</f>
        <v/>
      </c>
      <c r="H86" s="51"/>
      <c r="I86" s="51"/>
      <c r="J86" s="44"/>
      <c r="K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51"/>
      <c r="B87" s="28"/>
      <c r="C87" s="36" t="str">
        <f aca="false">IF(B87="","",TEXT(B87,"mmmm"))</f>
        <v/>
      </c>
      <c r="D87" s="44"/>
      <c r="E87" s="44"/>
      <c r="F87" s="30"/>
      <c r="G87" s="37" t="str">
        <f aca="false">IF(F87="","",F87*'Exchange Rate'!$E$5)</f>
        <v/>
      </c>
      <c r="H87" s="51"/>
      <c r="I87" s="51"/>
      <c r="J87" s="44"/>
      <c r="K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51"/>
      <c r="B88" s="28"/>
      <c r="C88" s="29" t="str">
        <f aca="false">IF(B88="","",TEXT(B88,"mmmm"))</f>
        <v/>
      </c>
      <c r="D88" s="44"/>
      <c r="E88" s="44"/>
      <c r="F88" s="30"/>
      <c r="G88" s="31" t="str">
        <f aca="false">IF(F88="","",F88*'Exchange Rate'!$E$5)</f>
        <v/>
      </c>
      <c r="H88" s="51"/>
      <c r="I88" s="51"/>
      <c r="J88" s="44"/>
      <c r="K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51"/>
      <c r="B89" s="28"/>
      <c r="C89" s="36" t="str">
        <f aca="false">IF(B89="","",TEXT(B89,"mmmm"))</f>
        <v/>
      </c>
      <c r="D89" s="44"/>
      <c r="E89" s="44"/>
      <c r="F89" s="30"/>
      <c r="G89" s="37" t="str">
        <f aca="false">IF(F89="","",F89*'Exchange Rate'!$E$5)</f>
        <v/>
      </c>
      <c r="H89" s="51"/>
      <c r="I89" s="51"/>
      <c r="J89" s="44"/>
      <c r="K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51"/>
      <c r="B90" s="28"/>
      <c r="C90" s="29" t="str">
        <f aca="false">IF(B90="","",TEXT(B90,"mmmm"))</f>
        <v/>
      </c>
      <c r="D90" s="44"/>
      <c r="E90" s="44"/>
      <c r="F90" s="30"/>
      <c r="G90" s="31" t="str">
        <f aca="false">IF(F90="","",F90*'Exchange Rate'!$E$5)</f>
        <v/>
      </c>
      <c r="H90" s="51"/>
      <c r="I90" s="51"/>
      <c r="J90" s="44"/>
      <c r="K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51"/>
      <c r="B91" s="28"/>
      <c r="C91" s="36" t="str">
        <f aca="false">IF(B91="","",TEXT(B91,"mmmm"))</f>
        <v/>
      </c>
      <c r="D91" s="44"/>
      <c r="E91" s="44"/>
      <c r="F91" s="30"/>
      <c r="G91" s="37" t="str">
        <f aca="false">IF(F91="","",F91*'Exchange Rate'!$E$5)</f>
        <v/>
      </c>
      <c r="H91" s="51"/>
      <c r="I91" s="51"/>
      <c r="J91" s="44"/>
      <c r="K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51"/>
      <c r="B92" s="28"/>
      <c r="C92" s="29" t="str">
        <f aca="false">IF(B92="","",TEXT(B92,"mmmm"))</f>
        <v/>
      </c>
      <c r="D92" s="44"/>
      <c r="E92" s="44"/>
      <c r="F92" s="30"/>
      <c r="G92" s="31" t="str">
        <f aca="false">IF(F92="","",F92*'Exchange Rate'!$E$5)</f>
        <v/>
      </c>
      <c r="H92" s="51"/>
      <c r="I92" s="51"/>
      <c r="J92" s="44"/>
      <c r="K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51"/>
      <c r="B93" s="28"/>
      <c r="C93" s="36" t="str">
        <f aca="false">IF(B93="","",TEXT(B93,"mmmm"))</f>
        <v/>
      </c>
      <c r="D93" s="44"/>
      <c r="E93" s="44"/>
      <c r="F93" s="30"/>
      <c r="G93" s="37" t="str">
        <f aca="false">IF(F93="","",F93*'Exchange Rate'!$E$5)</f>
        <v/>
      </c>
      <c r="H93" s="51"/>
      <c r="I93" s="51"/>
      <c r="J93" s="44"/>
      <c r="K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51"/>
      <c r="B94" s="28"/>
      <c r="C94" s="29" t="str">
        <f aca="false">IF(B94="","",TEXT(B94,"mmmm"))</f>
        <v/>
      </c>
      <c r="D94" s="44"/>
      <c r="E94" s="44"/>
      <c r="F94" s="30"/>
      <c r="G94" s="31" t="str">
        <f aca="false">IF(F94="","",F94*'Exchange Rate'!$E$5)</f>
        <v/>
      </c>
      <c r="H94" s="51"/>
      <c r="I94" s="51"/>
      <c r="J94" s="44"/>
      <c r="K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51"/>
      <c r="B95" s="28"/>
      <c r="C95" s="36" t="str">
        <f aca="false">IF(B95="","",TEXT(B95,"mmmm"))</f>
        <v/>
      </c>
      <c r="D95" s="44"/>
      <c r="E95" s="44"/>
      <c r="F95" s="30"/>
      <c r="G95" s="37" t="str">
        <f aca="false">IF(F95="","",F95*'Exchange Rate'!$E$5)</f>
        <v/>
      </c>
      <c r="H95" s="51"/>
      <c r="I95" s="51"/>
      <c r="J95" s="44"/>
      <c r="K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51"/>
      <c r="B96" s="28"/>
      <c r="C96" s="29" t="str">
        <f aca="false">IF(B96="","",TEXT(B96,"mmmm"))</f>
        <v/>
      </c>
      <c r="D96" s="44"/>
      <c r="E96" s="44"/>
      <c r="F96" s="30"/>
      <c r="G96" s="31" t="str">
        <f aca="false">IF(F96="","",F96*'Exchange Rate'!$E$5)</f>
        <v/>
      </c>
      <c r="H96" s="51"/>
      <c r="I96" s="51"/>
      <c r="J96" s="44"/>
      <c r="K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51"/>
      <c r="B97" s="28"/>
      <c r="C97" s="36" t="str">
        <f aca="false">IF(B97="","",TEXT(B97,"mmmm"))</f>
        <v/>
      </c>
      <c r="D97" s="44"/>
      <c r="E97" s="44"/>
      <c r="F97" s="30"/>
      <c r="G97" s="37" t="str">
        <f aca="false">IF(F97="","",F97*'Exchange Rate'!$E$5)</f>
        <v/>
      </c>
      <c r="H97" s="51"/>
      <c r="I97" s="51"/>
      <c r="J97" s="44"/>
      <c r="K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51"/>
      <c r="B98" s="28"/>
      <c r="C98" s="29" t="str">
        <f aca="false">IF(B98="","",TEXT(B98,"mmmm"))</f>
        <v/>
      </c>
      <c r="D98" s="44"/>
      <c r="E98" s="44"/>
      <c r="F98" s="30"/>
      <c r="G98" s="31" t="str">
        <f aca="false">IF(F98="","",F98*'Exchange Rate'!$E$5)</f>
        <v/>
      </c>
      <c r="H98" s="51"/>
      <c r="I98" s="51"/>
      <c r="J98" s="44"/>
      <c r="K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51"/>
      <c r="B99" s="28"/>
      <c r="C99" s="36" t="str">
        <f aca="false">IF(B99="","",TEXT(B99,"mmmm"))</f>
        <v/>
      </c>
      <c r="D99" s="44"/>
      <c r="E99" s="44"/>
      <c r="F99" s="30"/>
      <c r="G99" s="37" t="str">
        <f aca="false">IF(F99="","",F99*'Exchange Rate'!$E$5)</f>
        <v/>
      </c>
      <c r="H99" s="51"/>
      <c r="I99" s="51"/>
      <c r="J99" s="44"/>
      <c r="K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51"/>
      <c r="B100" s="28"/>
      <c r="C100" s="29" t="str">
        <f aca="false">IF(B100="","",TEXT(B100,"mmmm"))</f>
        <v/>
      </c>
      <c r="D100" s="44"/>
      <c r="E100" s="44"/>
      <c r="F100" s="30"/>
      <c r="G100" s="31" t="str">
        <f aca="false">IF(F100="","",F100*'Exchange Rate'!$E$5)</f>
        <v/>
      </c>
      <c r="H100" s="51"/>
      <c r="I100" s="51"/>
      <c r="J100" s="44"/>
      <c r="K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51"/>
      <c r="B101" s="28"/>
      <c r="C101" s="36" t="str">
        <f aca="false">IF(B101="","",TEXT(B101,"mmmm"))</f>
        <v/>
      </c>
      <c r="D101" s="44"/>
      <c r="E101" s="44"/>
      <c r="F101" s="30"/>
      <c r="G101" s="37" t="str">
        <f aca="false">IF(F101="","",F101*'Exchange Rate'!$E$5)</f>
        <v/>
      </c>
      <c r="H101" s="51"/>
      <c r="I101" s="51"/>
      <c r="J101" s="44"/>
      <c r="K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51"/>
      <c r="B102" s="28"/>
      <c r="C102" s="29" t="str">
        <f aca="false">IF(B102="","",TEXT(B102,"mmmm"))</f>
        <v/>
      </c>
      <c r="D102" s="44"/>
      <c r="E102" s="44"/>
      <c r="F102" s="30"/>
      <c r="G102" s="31" t="str">
        <f aca="false">IF(F102="","",F102*'Exchange Rate'!$E$5)</f>
        <v/>
      </c>
      <c r="H102" s="51"/>
      <c r="I102" s="51"/>
      <c r="J102" s="44"/>
      <c r="K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51"/>
      <c r="B103" s="28"/>
      <c r="C103" s="36" t="str">
        <f aca="false">IF(B103="","",TEXT(B103,"mmmm"))</f>
        <v/>
      </c>
      <c r="D103" s="44"/>
      <c r="E103" s="44"/>
      <c r="F103" s="30"/>
      <c r="G103" s="37" t="str">
        <f aca="false">IF(F103="","",F103*'Exchange Rate'!$E$5)</f>
        <v/>
      </c>
      <c r="H103" s="51"/>
      <c r="I103" s="51"/>
      <c r="J103" s="44"/>
      <c r="K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51"/>
      <c r="B104" s="28"/>
      <c r="C104" s="29" t="str">
        <f aca="false">IF(B104="","",TEXT(B104,"mmmm"))</f>
        <v/>
      </c>
      <c r="D104" s="44"/>
      <c r="E104" s="44"/>
      <c r="F104" s="30"/>
      <c r="G104" s="31" t="str">
        <f aca="false">IF(F104="","",F104*'Exchange Rate'!$E$5)</f>
        <v/>
      </c>
      <c r="H104" s="51"/>
      <c r="I104" s="51"/>
      <c r="J104" s="44"/>
      <c r="K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51"/>
      <c r="B105" s="28"/>
      <c r="C105" s="36" t="str">
        <f aca="false">IF(B105="","",TEXT(B105,"mmmm"))</f>
        <v/>
      </c>
      <c r="D105" s="44"/>
      <c r="E105" s="44"/>
      <c r="F105" s="30"/>
      <c r="G105" s="37" t="str">
        <f aca="false">IF(F105="","",F105*'Exchange Rate'!$E$5)</f>
        <v/>
      </c>
      <c r="H105" s="51"/>
      <c r="I105" s="51"/>
      <c r="J105" s="44"/>
      <c r="K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51"/>
      <c r="B106" s="28"/>
      <c r="C106" s="29" t="str">
        <f aca="false">IF(B106="","",TEXT(B106,"mmmm"))</f>
        <v/>
      </c>
      <c r="D106" s="44"/>
      <c r="E106" s="44"/>
      <c r="F106" s="30"/>
      <c r="G106" s="31" t="str">
        <f aca="false">IF(F106="","",F106*'Exchange Rate'!$E$5)</f>
        <v/>
      </c>
      <c r="H106" s="51"/>
      <c r="I106" s="51"/>
      <c r="J106" s="44"/>
      <c r="K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51"/>
      <c r="B107" s="28"/>
      <c r="C107" s="36" t="str">
        <f aca="false">IF(B107="","",TEXT(B107,"mmmm"))</f>
        <v/>
      </c>
      <c r="D107" s="44"/>
      <c r="E107" s="44"/>
      <c r="F107" s="30"/>
      <c r="G107" s="37" t="str">
        <f aca="false">IF(F107="","",F107*'Exchange Rate'!$E$5)</f>
        <v/>
      </c>
      <c r="H107" s="51"/>
      <c r="I107" s="51"/>
      <c r="J107" s="44"/>
      <c r="K107" s="35" t="str">
        <f aca="false">IF(A107="","—",A107&amp;" ("&amp;TEXT(B107,"MM/DD/YYYY")&amp;")")</f>
        <v>—</v>
      </c>
    </row>
    <row r="108" customFormat="false" ht="19.5" hidden="false" customHeight="true" outlineLevel="0" collapsed="false">
      <c r="A108" s="39" t="s">
        <v>63</v>
      </c>
      <c r="B108" s="39"/>
      <c r="C108" s="39"/>
      <c r="D108" s="39"/>
      <c r="E108" s="39"/>
      <c r="F108" s="40" t="n">
        <f aca="false">SUM(F8:F107)</f>
        <v>0</v>
      </c>
      <c r="G108" s="40" t="n">
        <f aca="false">SUM(G8:G107)</f>
        <v>0</v>
      </c>
    </row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</sheetData>
  <mergeCells count="3">
    <mergeCell ref="A1:J3"/>
    <mergeCell ref="A4:J4"/>
    <mergeCell ref="A108:E108"/>
  </mergeCells>
  <dataValidations count="4">
    <dataValidation allowBlank="true" errorStyle="stop" operator="between" showDropDown="false" showErrorMessage="false" showInputMessage="false" sqref="D8:D107" type="list">
      <formula1>"Shipping,Platform Fee,Packaging,Inventory Purchase,Marketing,Operations,Miscellaneous"</formula1>
      <formula2>0</formula2>
    </dataValidation>
    <dataValidation allowBlank="true" errorStyle="stop" operator="between" showDropDown="false" showErrorMessage="false" showInputMessage="false" sqref="H8:H107" type="list">
      <formula1>"Cash,Bank Transfer,Credit Card,GCash,PayPal"</formula1>
      <formula2>0</formula2>
    </dataValidation>
    <dataValidation allowBlank="true" errorStyle="stop" operator="between" showDropDown="false" showErrorMessage="false" showInputMessage="false" sqref="I8:I107" type="list">
      <formula1>"Paid,Pending,Cancelled"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4" min="3" style="1" width="20"/>
    <col collapsed="false" customWidth="true" hidden="false" outlineLevel="0" max="5" min="5" style="1" width="4"/>
    <col collapsed="false" customWidth="true" hidden="false" outlineLevel="0" max="7" min="6" style="1" width="26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4"/>
    <col collapsed="false" customWidth="true" hidden="false" outlineLevel="0" max="11" min="11" style="1" width="22"/>
  </cols>
  <sheetData>
    <row r="1" customFormat="false" ht="21.75" hidden="false" customHeight="true" outlineLevel="0" collapsed="false">
      <c r="A1" s="52" t="s">
        <v>64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31.5" hidden="false" customHeight="true" outlineLevel="0" collapsed="false">
      <c r="A2" s="53" t="s">
        <v>65</v>
      </c>
      <c r="B2" s="46" t="s">
        <v>66</v>
      </c>
      <c r="D2" s="53" t="s">
        <v>67</v>
      </c>
      <c r="E2" s="46" t="s">
        <v>68</v>
      </c>
    </row>
    <row r="3" customFormat="false" ht="21.75" hidden="false" customHeight="true" outlineLevel="0" collapsed="false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customFormat="false" ht="21.75" hidden="false" customHeight="true" outlineLevel="0" collapsed="false">
      <c r="A4" s="54" t="s">
        <v>69</v>
      </c>
      <c r="B4" s="54"/>
      <c r="C4" s="54"/>
      <c r="D4" s="54"/>
      <c r="F4" s="54" t="s">
        <v>70</v>
      </c>
      <c r="G4" s="54"/>
      <c r="H4" s="54"/>
      <c r="I4" s="54"/>
      <c r="J4" s="54"/>
      <c r="K4" s="54"/>
    </row>
    <row r="5" customFormat="false" ht="21.75" hidden="false" customHeight="true" outlineLevel="0" collapsed="false">
      <c r="A5" s="25" t="s">
        <v>71</v>
      </c>
      <c r="B5" s="25" t="s">
        <v>72</v>
      </c>
      <c r="C5" s="25" t="s">
        <v>73</v>
      </c>
      <c r="D5" s="25" t="s">
        <v>74</v>
      </c>
      <c r="F5" s="55" t="s">
        <v>75</v>
      </c>
      <c r="G5" s="55"/>
      <c r="H5" s="55"/>
      <c r="I5" s="55"/>
      <c r="J5" s="55"/>
      <c r="K5" s="55"/>
    </row>
    <row r="6" customFormat="false" ht="21.75" hidden="false" customHeight="true" outlineLevel="0" collapsed="false">
      <c r="A6" s="56" t="s">
        <v>76</v>
      </c>
      <c r="B6" s="57" t="n">
        <f aca="true">IFERROR(IF($B$2="Full Year Summary",INDIRECT("'"&amp;$A6&amp;"'!D108"),IFERROR(SUMIFS(INDIRECT("'"&amp;$A6&amp;"'!D8:D107"),INDIRECT("'"&amp;$A6&amp;"'!C8:C107"),$B$2),0)),0)</f>
        <v>0</v>
      </c>
      <c r="C6" s="57" t="n">
        <f aca="true">IFERROR(IF($B$2="Full Year Summary",INDIRECT("'"&amp;$A6&amp;"'!H108"),IFERROR(SUMIFS(INDIRECT("'"&amp;$A6&amp;"'!H8:H107"),INDIRECT("'"&amp;$A6&amp;"'!C8:C107"),$B$2),0)),0)</f>
        <v>0</v>
      </c>
      <c r="D6" s="57" t="n">
        <f aca="true">IFERROR(IF($B$2="Full Year Summary",INDIRECT("'"&amp;$A6&amp;"'!J108"),IFERROR(SUMIFS(INDIRECT("'"&amp;$A6&amp;"'!J8:J107"),INDIRECT("'"&amp;$A6&amp;"'!C8:C107"),$B$2),0)),0)</f>
        <v>0</v>
      </c>
      <c r="F6" s="58" t="str">
        <f aca="false">IFERROR(C15/(B15+C15),"No Data")</f>
        <v>No Data</v>
      </c>
      <c r="G6" s="58"/>
      <c r="H6" s="58"/>
      <c r="I6" s="58"/>
      <c r="J6" s="58"/>
      <c r="K6" s="58"/>
    </row>
    <row r="7" customFormat="false" ht="21.75" hidden="false" customHeight="true" outlineLevel="0" collapsed="false">
      <c r="A7" s="59" t="s">
        <v>77</v>
      </c>
      <c r="B7" s="60" t="n">
        <f aca="true">IFERROR(IF($B$2="Full Year Summary",INDIRECT("'"&amp;$A7&amp;"'!D108"),IFERROR(SUMIFS(INDIRECT("'"&amp;$A7&amp;"'!D8:D107"),INDIRECT("'"&amp;$A7&amp;"'!C8:C107"),$B$2),0)),0)</f>
        <v>0</v>
      </c>
      <c r="C7" s="60" t="n">
        <f aca="true">IFERROR(IF($B$2="Full Year Summary",INDIRECT("'"&amp;$A7&amp;"'!H108"),IFERROR(SUMIFS(INDIRECT("'"&amp;$A7&amp;"'!H8:H107"),INDIRECT("'"&amp;$A7&amp;"'!C8:C107"),$B$2),0)),0)</f>
        <v>0</v>
      </c>
      <c r="D7" s="60" t="n">
        <f aca="true">IFERROR(IF($B$2="Full Year Summary",INDIRECT("'"&amp;$A7&amp;"'!J108"),IFERROR(SUMIFS(INDIRECT("'"&amp;$A7&amp;"'!J8:J107"),INDIRECT("'"&amp;$A7&amp;"'!C8:C107"),$B$2),0)),0)</f>
        <v>0</v>
      </c>
      <c r="F7" s="58"/>
      <c r="G7" s="58"/>
      <c r="H7" s="58"/>
      <c r="I7" s="58"/>
      <c r="J7" s="58"/>
      <c r="K7" s="58"/>
    </row>
    <row r="8" customFormat="false" ht="21.75" hidden="false" customHeight="true" outlineLevel="0" collapsed="false">
      <c r="A8" s="61" t="s">
        <v>78</v>
      </c>
      <c r="B8" s="62" t="n">
        <f aca="true">IFERROR(IF($B$2="Full Year Summary",INDIRECT("'"&amp;$A8&amp;"'!D108"),IFERROR(SUMIFS(INDIRECT("'"&amp;$A8&amp;"'!D8:D107"),INDIRECT("'"&amp;$A8&amp;"'!C8:C107"),$B$2),0)),0)</f>
        <v>0</v>
      </c>
      <c r="C8" s="62" t="n">
        <f aca="true">IFERROR(IF($B$2="Full Year Summary",INDIRECT("'"&amp;$A8&amp;"'!H108"),IFERROR(SUMIFS(INDIRECT("'"&amp;$A8&amp;"'!H8:H107"),INDIRECT("'"&amp;$A8&amp;"'!C8:C107"),$B$2),0)),0)</f>
        <v>0</v>
      </c>
      <c r="D8" s="62" t="n">
        <f aca="true">IFERROR(IF($B$2="Full Year Summary",INDIRECT("'"&amp;$A8&amp;"'!J108"),IFERROR(SUMIFS(INDIRECT("'"&amp;$A8&amp;"'!J8:J107"),INDIRECT("'"&amp;$A8&amp;"'!C8:C107"),$B$2),0)),0)</f>
        <v>0</v>
      </c>
      <c r="F8" s="58"/>
      <c r="G8" s="58"/>
      <c r="H8" s="58"/>
      <c r="I8" s="58"/>
      <c r="J8" s="58"/>
      <c r="K8" s="58"/>
    </row>
    <row r="9" customFormat="false" ht="21.75" hidden="false" customHeight="true" outlineLevel="0" collapsed="false">
      <c r="A9" s="63" t="s">
        <v>79</v>
      </c>
      <c r="B9" s="64" t="n">
        <f aca="true">IFERROR(IF($B$2="Full Year Summary",INDIRECT("'"&amp;$A9&amp;"'!D108"),IFERROR(SUMIFS(INDIRECT("'"&amp;$A9&amp;"'!D8:D107"),INDIRECT("'"&amp;$A9&amp;"'!C8:C107"),$B$2),0)),0)</f>
        <v>0</v>
      </c>
      <c r="C9" s="64" t="n">
        <f aca="true">IFERROR(IF($B$2="Full Year Summary",INDIRECT("'"&amp;$A9&amp;"'!H108"),IFERROR(SUMIFS(INDIRECT("'"&amp;$A9&amp;"'!H8:H107"),INDIRECT("'"&amp;$A9&amp;"'!C8:C107"),$B$2),0)),0)</f>
        <v>0</v>
      </c>
      <c r="D9" s="64" t="n">
        <f aca="true">IFERROR(IF($B$2="Full Year Summary",INDIRECT("'"&amp;$A9&amp;"'!J108"),IFERROR(SUMIFS(INDIRECT("'"&amp;$A9&amp;"'!J8:J107"),INDIRECT("'"&amp;$A9&amp;"'!C8:C107"),$B$2),0)),0)</f>
        <v>0</v>
      </c>
      <c r="F9" s="65" t="s">
        <v>80</v>
      </c>
      <c r="G9" s="65"/>
      <c r="H9" s="65"/>
      <c r="I9" s="65"/>
      <c r="J9" s="65"/>
      <c r="K9" s="65"/>
    </row>
    <row r="10" customFormat="false" ht="21.75" hidden="false" customHeight="true" outlineLevel="0" collapsed="false">
      <c r="A10" s="66" t="s">
        <v>81</v>
      </c>
      <c r="B10" s="67" t="n">
        <f aca="true">IFERROR(IF($B$2="Full Year Summary",INDIRECT("'"&amp;$A10&amp;"'!D108"),IFERROR(SUMIFS(INDIRECT("'"&amp;$A10&amp;"'!D8:D107"),INDIRECT("'"&amp;$A10&amp;"'!C8:C107"),$B$2),0)),0)</f>
        <v>0</v>
      </c>
      <c r="C10" s="67" t="n">
        <f aca="true">IFERROR(IF($B$2="Full Year Summary",INDIRECT("'"&amp;$A10&amp;"'!H108"),IFERROR(SUMIFS(INDIRECT("'"&amp;$A10&amp;"'!H8:H107"),INDIRECT("'"&amp;$A10&amp;"'!C8:C107"),$B$2),0)),0)</f>
        <v>0</v>
      </c>
      <c r="D10" s="67" t="n">
        <f aca="true">IFERROR(IF($B$2="Full Year Summary",INDIRECT("'"&amp;$A10&amp;"'!J108"),IFERROR(SUMIFS(INDIRECT("'"&amp;$A10&amp;"'!J8:J107"),INDIRECT("'"&amp;$A10&amp;"'!C8:C107"),$B$2),0)),0)</f>
        <v>0</v>
      </c>
      <c r="F10" s="68" t="s">
        <v>82</v>
      </c>
      <c r="G10" s="68"/>
      <c r="H10" s="68"/>
      <c r="I10" s="68"/>
      <c r="J10" s="68"/>
      <c r="K10" s="68"/>
    </row>
    <row r="11" customFormat="false" ht="21.75" hidden="false" customHeight="true" outlineLevel="0" collapsed="false">
      <c r="A11" s="69" t="s">
        <v>83</v>
      </c>
      <c r="B11" s="70" t="n">
        <f aca="true">IFERROR(IF($B$2="Full Year Summary",INDIRECT("'"&amp;$A11&amp;"'!D108"),IFERROR(SUMIFS(INDIRECT("'"&amp;$A11&amp;"'!D8:D107"),INDIRECT("'"&amp;$A11&amp;"'!C8:C107"),$B$2),0)),0)</f>
        <v>0</v>
      </c>
      <c r="C11" s="70" t="n">
        <f aca="true">IFERROR(IF($B$2="Full Year Summary",INDIRECT("'"&amp;$A11&amp;"'!H108"),IFERROR(SUMIFS(INDIRECT("'"&amp;$A11&amp;"'!H8:H107"),INDIRECT("'"&amp;$A11&amp;"'!C8:C107"),$B$2),0)),0)</f>
        <v>0</v>
      </c>
      <c r="D11" s="70" t="n">
        <f aca="true">IFERROR(IF($B$2="Full Year Summary",INDIRECT("'"&amp;$A11&amp;"'!J108"),IFERROR(SUMIFS(INDIRECT("'"&amp;$A11&amp;"'!J8:J107"),INDIRECT("'"&amp;$A11&amp;"'!C8:C107"),$B$2),0)),0)</f>
        <v>0</v>
      </c>
      <c r="F11" s="71" t="str">
        <f aca="false">IFERROR(INDEX($A$6:$A$14,MATCH(MAX($C$6:$C$14),$C$6:$C$14,0)),"No Data")</f>
        <v>1. Anime Figures</v>
      </c>
      <c r="G11" s="71"/>
      <c r="H11" s="71"/>
      <c r="I11" s="71"/>
      <c r="J11" s="71"/>
      <c r="K11" s="71"/>
    </row>
    <row r="12" customFormat="false" ht="21.75" hidden="false" customHeight="true" outlineLevel="0" collapsed="false">
      <c r="A12" s="72" t="s">
        <v>84</v>
      </c>
      <c r="B12" s="73" t="n">
        <f aca="true">IFERROR(IF($B$2="Full Year Summary",INDIRECT("'"&amp;$A12&amp;"'!D108"),IFERROR(SUMIFS(INDIRECT("'"&amp;$A12&amp;"'!D8:D107"),INDIRECT("'"&amp;$A12&amp;"'!C8:C107"),$B$2),0)),0)</f>
        <v>0</v>
      </c>
      <c r="C12" s="73" t="n">
        <f aca="true">IFERROR(IF($B$2="Full Year Summary",INDIRECT("'"&amp;$A12&amp;"'!H108"),IFERROR(SUMIFS(INDIRECT("'"&amp;$A12&amp;"'!H8:H107"),INDIRECT("'"&amp;$A12&amp;"'!C8:C107"),$B$2),0)),0)</f>
        <v>0</v>
      </c>
      <c r="D12" s="73" t="n">
        <f aca="true">IFERROR(IF($B$2="Full Year Summary",INDIRECT("'"&amp;$A12&amp;"'!J108"),IFERROR(SUMIFS(INDIRECT("'"&amp;$A12&amp;"'!J8:J107"),INDIRECT("'"&amp;$A12&amp;"'!C8:C107"),$B$2),0)),0)</f>
        <v>0</v>
      </c>
      <c r="F12" s="71"/>
      <c r="G12" s="71"/>
      <c r="H12" s="71"/>
      <c r="I12" s="71"/>
      <c r="J12" s="71"/>
      <c r="K12" s="71"/>
    </row>
    <row r="13" customFormat="false" ht="21.75" hidden="false" customHeight="true" outlineLevel="0" collapsed="false">
      <c r="A13" s="74" t="s">
        <v>85</v>
      </c>
      <c r="B13" s="75" t="n">
        <f aca="true">IFERROR(IF($B$2="Full Year Summary",INDIRECT("'"&amp;$A13&amp;"'!F108"),IFERROR(SUMIFS(INDIRECT("'"&amp;$A13&amp;"'!F8:F107"),INDIRECT("'"&amp;$A13&amp;"'!C8:C107"),$B$2),0)),0)</f>
        <v>0</v>
      </c>
      <c r="C13" s="75" t="n">
        <f aca="true">IFERROR(IF($B$2="Full Year Summary",INDIRECT("'"&amp;$A13&amp;"'!F108"),IFERROR(SUMIFS(INDIRECT("'"&amp;$A13&amp;"'!F8:F107"),INDIRECT("'"&amp;$A13&amp;"'!C8:C107"),$B$2),0)),0)</f>
        <v>0</v>
      </c>
      <c r="D13" s="75" t="n">
        <f aca="true">IFERROR(IF($B$2="Full Year Summary",INDIRECT("'"&amp;$A13&amp;"'!F108"),IFERROR(SUMIFS(INDIRECT("'"&amp;$A13&amp;"'!F8:F107"),INDIRECT("'"&amp;$A13&amp;"'!C8:C107"),$B$2),0)),0)</f>
        <v>0</v>
      </c>
      <c r="F13" s="71"/>
      <c r="G13" s="71"/>
      <c r="H13" s="71"/>
      <c r="I13" s="71"/>
      <c r="J13" s="71"/>
      <c r="K13" s="71"/>
    </row>
    <row r="14" customFormat="false" ht="21.75" hidden="false" customHeight="true" outlineLevel="0" collapsed="false">
      <c r="A14" s="76" t="s">
        <v>86</v>
      </c>
      <c r="B14" s="77" t="n">
        <f aca="true">IFERROR(IF($B$2="Full Year Summary",INDIRECT("'"&amp;$A14&amp;"'!D108"),IFERROR(SUMIFS(INDIRECT("'"&amp;$A14&amp;"'!D8:D107"),INDIRECT("'"&amp;$A14&amp;"'!C8:C107"),$B$2),0)),0)</f>
        <v>0</v>
      </c>
      <c r="C14" s="77" t="n">
        <f aca="true">IFERROR(IF($B$2="Full Year Summary",INDIRECT("'"&amp;$A14&amp;"'!H108"),IFERROR(SUMIFS(INDIRECT("'"&amp;$A14&amp;"'!H8:H107"),INDIRECT("'"&amp;$A14&amp;"'!C8:C107"),$B$2),0)),0)</f>
        <v>0</v>
      </c>
      <c r="D14" s="77" t="n">
        <f aca="true">IFERROR(IF($B$2="Full Year Summary",INDIRECT("'"&amp;$A14&amp;"'!J108"),IFERROR(SUMIFS(INDIRECT("'"&amp;$A14&amp;"'!J8:J107"),INDIRECT("'"&amp;$A14&amp;"'!C8:C107"),$B$2),0)),0)</f>
        <v>0</v>
      </c>
      <c r="F14" s="78" t="s">
        <v>87</v>
      </c>
      <c r="G14" s="78"/>
      <c r="H14" s="78"/>
      <c r="I14" s="78"/>
      <c r="J14" s="78"/>
      <c r="K14" s="78"/>
    </row>
    <row r="15" customFormat="false" ht="25.5" hidden="false" customHeight="true" outlineLevel="0" collapsed="false">
      <c r="A15" s="79" t="s">
        <v>88</v>
      </c>
      <c r="B15" s="80" t="n">
        <f aca="false">SUM(B6:B14)</f>
        <v>0</v>
      </c>
      <c r="C15" s="80" t="n">
        <f aca="false">SUM(C6:C14)</f>
        <v>0</v>
      </c>
      <c r="D15" s="80" t="n">
        <f aca="false">SUM(D6:D14)</f>
        <v>0</v>
      </c>
      <c r="F15" s="81" t="s">
        <v>89</v>
      </c>
      <c r="G15" s="81"/>
      <c r="H15" s="81"/>
      <c r="I15" s="81"/>
      <c r="J15" s="81"/>
      <c r="K15" s="81"/>
    </row>
    <row r="16" customFormat="false" ht="21.75" hidden="false" customHeight="true" outlineLevel="0" collapsed="false">
      <c r="F16" s="82" t="n">
        <f aca="false">C15-D15</f>
        <v>0</v>
      </c>
      <c r="G16" s="82"/>
      <c r="H16" s="82"/>
      <c r="I16" s="82"/>
      <c r="J16" s="82"/>
      <c r="K16" s="82"/>
    </row>
    <row r="17" customFormat="false" ht="21.75" hidden="false" customHeight="true" outlineLevel="0" collapsed="false">
      <c r="F17" s="82"/>
      <c r="G17" s="82"/>
      <c r="H17" s="82"/>
      <c r="I17" s="82"/>
      <c r="J17" s="82"/>
      <c r="K17" s="82"/>
    </row>
    <row r="18" customFormat="false" ht="21.75" hidden="false" customHeight="true" outlineLevel="0" collapsed="false"/>
    <row r="19" customFormat="false" ht="21.75" hidden="false" customHeight="true" outlineLevel="0" collapsed="false">
      <c r="A19" s="54" t="s">
        <v>90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</row>
    <row r="20" customFormat="false" ht="21.75" hidden="false" customHeight="true" outlineLevel="0" collapsed="false">
      <c r="A20" s="25" t="s">
        <v>91</v>
      </c>
      <c r="B20" s="83" t="s">
        <v>92</v>
      </c>
      <c r="C20" s="83" t="s">
        <v>93</v>
      </c>
      <c r="D20" s="83" t="s">
        <v>94</v>
      </c>
    </row>
    <row r="21" customFormat="false" ht="19.5" hidden="false" customHeight="true" outlineLevel="0" collapsed="false">
      <c r="A21" s="84" t="str">
        <f aca="true">IF($E$2="Monthly View","January",IF($E$2="Weekly View","Week "&amp;(ROW()-20),YEAR(TODAY())-12+ROW()-19))</f>
        <v>January</v>
      </c>
      <c r="B21" s="33" t="n">
        <f aca="true">IF($E$2="Monthly View",IFERROR(SUMIFS('1. Anime Figures'!D$8:D$107,'1. Anime Figures'!C$8:C$107,A21),0)+IFERROR(SUMIFS('2. Mercari and Online store'!D$8:D$107,'2. Mercari and Online store'!C$8:C$107,A21),0)+IFERROR(SUMIFS('3. Onhand orders JPY'!D$8:D$107,'3. Onhand orders JPY'!C$8:C$107,A21),0)+IFERROR(SUMIFS('4. Live Selling Orders'!D$8:D$107,'4. Live Selling Orders'!C$8:C$107,A21),0)+IFERROR(SUMIFS('5. On hand orders PHP'!D$8:D$107,'5. On hand orders PHP'!C$8:C$107,A21),0)+IFERROR(SUMIFS('6. Pre Orders'!D$8:D$107,'6. Pre Orders'!C$8:C$107,A21),0)+IFERROR(SUMIFS('7. Overseas orders'!D$8:D$107,'7. Overseas orders'!C$8:C$107,A21),0)+IFERROR(SUMIFS('10. Restock'!D$8:D$107,'10. Restock'!C$8:C$107,A21),0),IF($E$2="Weekly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1" s="33" t="n">
        <f aca="true">IF($E$2="Monthly View",IFERROR(SUMIFS('1. Anime Figures'!H$8:H$107,'1. Anime Figures'!C$8:C$107,A21),0)+IFERROR(SUMIFS('2. Mercari and Online store'!H$8:H$107,'2. Mercari and Online store'!C$8:C$107,A21),0)+IFERROR(SUMIFS('3. Onhand orders JPY'!H$8:H$107,'3. Onhand orders JPY'!C$8:C$107,A21),0)+IFERROR(SUMIFS('4. Live Selling Orders'!H$8:H$107,'4. Live Selling Orders'!C$8:C$107,A21),0)+IFERROR(SUMIFS('5. On hand orders PHP'!H$8:H$107,'5. On hand orders PHP'!C$8:C$107,A21),0)+IFERROR(SUMIFS('6. Pre Orders'!H$8:H$107,'6. Pre Orders'!C$8:C$107,A21),0)+IFERROR(SUMIFS('7. Overseas orders'!H$8:H$107,'7. Overseas orders'!C$8:C$107,A21),0)+IFERROR(SUMIFS('10. Restock'!H$8:H$107,'10. Restock'!C$8:C$107,A21),0),IF($E$2="Weekly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1" s="33" t="n">
        <f aca="true">IF($E$2="Monthly View",IFERROR(SUMIFS('1. Anime Figures'!J$8:J$107,'1. Anime Figures'!C$8:C$107,A21),0)+IFERROR(SUMIFS('2. Mercari and Online store'!J$8:J$107,'2. Mercari and Online store'!C$8:C$107,A21),0)+IFERROR(SUMIFS('3. Onhand orders JPY'!J$8:J$107,'3. Onhand orders JPY'!C$8:C$107,A21),0)+IFERROR(SUMIFS('4. Live Selling Orders'!J$8:J$107,'4. Live Selling Orders'!C$8:C$107,A21),0)+IFERROR(SUMIFS('5. On hand orders PHP'!J$8:J$107,'5. On hand orders PHP'!C$8:C$107,A21),0)+IFERROR(SUMIFS('6. Pre Orders'!J$8:J$107,'6. Pre Orders'!C$8:C$107,A21),0)+IFERROR(SUMIFS('7. Overseas orders'!J$8:J$107,'7. Overseas orders'!C$8:C$107,A21),0)+IFERROR(SUMIFS('10. Restock'!J$8:J$107,'10. Restock'!C$8:C$107,A21),0),IF($E$2="Weekly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2" customFormat="false" ht="19.5" hidden="false" customHeight="true" outlineLevel="0" collapsed="false">
      <c r="A22" s="85" t="str">
        <f aca="true">IF($E$2="Monthly View","February",IF($E$2="Weekly View","Week "&amp;(ROW()-20),YEAR(TODAY())-12+ROW()-19))</f>
        <v>February</v>
      </c>
      <c r="B22" s="38" t="n">
        <f aca="true">IF($E$2="Monthly View",IFERROR(SUMIFS('1. Anime Figures'!D$8:D$107,'1. Anime Figures'!C$8:C$107,A22),0)+IFERROR(SUMIFS('2. Mercari and Online store'!D$8:D$107,'2. Mercari and Online store'!C$8:C$107,A22),0)+IFERROR(SUMIFS('3. Onhand orders JPY'!D$8:D$107,'3. Onhand orders JPY'!C$8:C$107,A22),0)+IFERROR(SUMIFS('4. Live Selling Orders'!D$8:D$107,'4. Live Selling Orders'!C$8:C$107,A22),0)+IFERROR(SUMIFS('5. On hand orders PHP'!D$8:D$107,'5. On hand orders PHP'!C$8:C$107,A22),0)+IFERROR(SUMIFS('6. Pre Orders'!D$8:D$107,'6. Pre Orders'!C$8:C$107,A22),0)+IFERROR(SUMIFS('7. Overseas orders'!D$8:D$107,'7. Overseas orders'!C$8:C$107,A22),0)+IFERROR(SUMIFS('10. Restock'!D$8:D$107,'10. Restock'!C$8:C$107,A22),0),IF($E$2="Weekly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2" s="38" t="n">
        <f aca="true">IF($E$2="Monthly View",IFERROR(SUMIFS('1. Anime Figures'!H$8:H$107,'1. Anime Figures'!C$8:C$107,A22),0)+IFERROR(SUMIFS('2. Mercari and Online store'!H$8:H$107,'2. Mercari and Online store'!C$8:C$107,A22),0)+IFERROR(SUMIFS('3. Onhand orders JPY'!H$8:H$107,'3. Onhand orders JPY'!C$8:C$107,A22),0)+IFERROR(SUMIFS('4. Live Selling Orders'!H$8:H$107,'4. Live Selling Orders'!C$8:C$107,A22),0)+IFERROR(SUMIFS('5. On hand orders PHP'!H$8:H$107,'5. On hand orders PHP'!C$8:C$107,A22),0)+IFERROR(SUMIFS('6. Pre Orders'!H$8:H$107,'6. Pre Orders'!C$8:C$107,A22),0)+IFERROR(SUMIFS('7. Overseas orders'!H$8:H$107,'7. Overseas orders'!C$8:C$107,A22),0)+IFERROR(SUMIFS('10. Restock'!H$8:H$107,'10. Restock'!C$8:C$107,A22),0),IF($E$2="Weekly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2" s="38" t="n">
        <f aca="true">IF($E$2="Monthly View",IFERROR(SUMIFS('1. Anime Figures'!J$8:J$107,'1. Anime Figures'!C$8:C$107,A22),0)+IFERROR(SUMIFS('2. Mercari and Online store'!J$8:J$107,'2. Mercari and Online store'!C$8:C$107,A22),0)+IFERROR(SUMIFS('3. Onhand orders JPY'!J$8:J$107,'3. Onhand orders JPY'!C$8:C$107,A22),0)+IFERROR(SUMIFS('4. Live Selling Orders'!J$8:J$107,'4. Live Selling Orders'!C$8:C$107,A22),0)+IFERROR(SUMIFS('5. On hand orders PHP'!J$8:J$107,'5. On hand orders PHP'!C$8:C$107,A22),0)+IFERROR(SUMIFS('6. Pre Orders'!J$8:J$107,'6. Pre Orders'!C$8:C$107,A22),0)+IFERROR(SUMIFS('7. Overseas orders'!J$8:J$107,'7. Overseas orders'!C$8:C$107,A22),0)+IFERROR(SUMIFS('10. Restock'!J$8:J$107,'10. Restock'!C$8:C$107,A22),0),IF($E$2="Weekly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3" customFormat="false" ht="19.5" hidden="false" customHeight="true" outlineLevel="0" collapsed="false">
      <c r="A23" s="84" t="str">
        <f aca="true">IF($E$2="Monthly View","March",IF($E$2="Weekly View","Week "&amp;(ROW()-20),YEAR(TODAY())-12+ROW()-19))</f>
        <v>March</v>
      </c>
      <c r="B23" s="33" t="n">
        <f aca="true">IF($E$2="Monthly View",IFERROR(SUMIFS('1. Anime Figures'!D$8:D$107,'1. Anime Figures'!C$8:C$107,A23),0)+IFERROR(SUMIFS('2. Mercari and Online store'!D$8:D$107,'2. Mercari and Online store'!C$8:C$107,A23),0)+IFERROR(SUMIFS('3. Onhand orders JPY'!D$8:D$107,'3. Onhand orders JPY'!C$8:C$107,A23),0)+IFERROR(SUMIFS('4. Live Selling Orders'!D$8:D$107,'4. Live Selling Orders'!C$8:C$107,A23),0)+IFERROR(SUMIFS('5. On hand orders PHP'!D$8:D$107,'5. On hand orders PHP'!C$8:C$107,A23),0)+IFERROR(SUMIFS('6. Pre Orders'!D$8:D$107,'6. Pre Orders'!C$8:C$107,A23),0)+IFERROR(SUMIFS('7. Overseas orders'!D$8:D$107,'7. Overseas orders'!C$8:C$107,A23),0)+IFERROR(SUMIFS('10. Restock'!D$8:D$107,'10. Restock'!C$8:C$107,A23),0),IF($E$2="Weekly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3" s="33" t="n">
        <f aca="true">IF($E$2="Monthly View",IFERROR(SUMIFS('1. Anime Figures'!H$8:H$107,'1. Anime Figures'!C$8:C$107,A23),0)+IFERROR(SUMIFS('2. Mercari and Online store'!H$8:H$107,'2. Mercari and Online store'!C$8:C$107,A23),0)+IFERROR(SUMIFS('3. Onhand orders JPY'!H$8:H$107,'3. Onhand orders JPY'!C$8:C$107,A23),0)+IFERROR(SUMIFS('4. Live Selling Orders'!H$8:H$107,'4. Live Selling Orders'!C$8:C$107,A23),0)+IFERROR(SUMIFS('5. On hand orders PHP'!H$8:H$107,'5. On hand orders PHP'!C$8:C$107,A23),0)+IFERROR(SUMIFS('6. Pre Orders'!H$8:H$107,'6. Pre Orders'!C$8:C$107,A23),0)+IFERROR(SUMIFS('7. Overseas orders'!H$8:H$107,'7. Overseas orders'!C$8:C$107,A23),0)+IFERROR(SUMIFS('10. Restock'!H$8:H$107,'10. Restock'!C$8:C$107,A23),0),IF($E$2="Weekly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3" s="33" t="n">
        <f aca="true">IF($E$2="Monthly View",IFERROR(SUMIFS('1. Anime Figures'!J$8:J$107,'1. Anime Figures'!C$8:C$107,A23),0)+IFERROR(SUMIFS('2. Mercari and Online store'!J$8:J$107,'2. Mercari and Online store'!C$8:C$107,A23),0)+IFERROR(SUMIFS('3. Onhand orders JPY'!J$8:J$107,'3. Onhand orders JPY'!C$8:C$107,A23),0)+IFERROR(SUMIFS('4. Live Selling Orders'!J$8:J$107,'4. Live Selling Orders'!C$8:C$107,A23),0)+IFERROR(SUMIFS('5. On hand orders PHP'!J$8:J$107,'5. On hand orders PHP'!C$8:C$107,A23),0)+IFERROR(SUMIFS('6. Pre Orders'!J$8:J$107,'6. Pre Orders'!C$8:C$107,A23),0)+IFERROR(SUMIFS('7. Overseas orders'!J$8:J$107,'7. Overseas orders'!C$8:C$107,A23),0)+IFERROR(SUMIFS('10. Restock'!J$8:J$107,'10. Restock'!C$8:C$107,A23),0),IF($E$2="Weekly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4" customFormat="false" ht="19.5" hidden="false" customHeight="true" outlineLevel="0" collapsed="false">
      <c r="A24" s="85" t="str">
        <f aca="true">IF($E$2="Monthly View","April",IF($E$2="Weekly View","Week "&amp;(ROW()-20),YEAR(TODAY())-12+ROW()-19))</f>
        <v>April</v>
      </c>
      <c r="B24" s="38" t="n">
        <f aca="true">IF($E$2="Monthly View",IFERROR(SUMIFS('1. Anime Figures'!D$8:D$107,'1. Anime Figures'!C$8:C$107,A24),0)+IFERROR(SUMIFS('2. Mercari and Online store'!D$8:D$107,'2. Mercari and Online store'!C$8:C$107,A24),0)+IFERROR(SUMIFS('3. Onhand orders JPY'!D$8:D$107,'3. Onhand orders JPY'!C$8:C$107,A24),0)+IFERROR(SUMIFS('4. Live Selling Orders'!D$8:D$107,'4. Live Selling Orders'!C$8:C$107,A24),0)+IFERROR(SUMIFS('5. On hand orders PHP'!D$8:D$107,'5. On hand orders PHP'!C$8:C$107,A24),0)+IFERROR(SUMIFS('6. Pre Orders'!D$8:D$107,'6. Pre Orders'!C$8:C$107,A24),0)+IFERROR(SUMIFS('7. Overseas orders'!D$8:D$107,'7. Overseas orders'!C$8:C$107,A24),0)+IFERROR(SUMIFS('10. Restock'!D$8:D$107,'10. Restock'!C$8:C$107,A24),0),IF($E$2="Weekly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4" s="38" t="n">
        <f aca="true">IF($E$2="Monthly View",IFERROR(SUMIFS('1. Anime Figures'!H$8:H$107,'1. Anime Figures'!C$8:C$107,A24),0)+IFERROR(SUMIFS('2. Mercari and Online store'!H$8:H$107,'2. Mercari and Online store'!C$8:C$107,A24),0)+IFERROR(SUMIFS('3. Onhand orders JPY'!H$8:H$107,'3. Onhand orders JPY'!C$8:C$107,A24),0)+IFERROR(SUMIFS('4. Live Selling Orders'!H$8:H$107,'4. Live Selling Orders'!C$8:C$107,A24),0)+IFERROR(SUMIFS('5. On hand orders PHP'!H$8:H$107,'5. On hand orders PHP'!C$8:C$107,A24),0)+IFERROR(SUMIFS('6. Pre Orders'!H$8:H$107,'6. Pre Orders'!C$8:C$107,A24),0)+IFERROR(SUMIFS('7. Overseas orders'!H$8:H$107,'7. Overseas orders'!C$8:C$107,A24),0)+IFERROR(SUMIFS('10. Restock'!H$8:H$107,'10. Restock'!C$8:C$107,A24),0),IF($E$2="Weekly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4" s="38" t="n">
        <f aca="true">IF($E$2="Monthly View",IFERROR(SUMIFS('1. Anime Figures'!J$8:J$107,'1. Anime Figures'!C$8:C$107,A24),0)+IFERROR(SUMIFS('2. Mercari and Online store'!J$8:J$107,'2. Mercari and Online store'!C$8:C$107,A24),0)+IFERROR(SUMIFS('3. Onhand orders JPY'!J$8:J$107,'3. Onhand orders JPY'!C$8:C$107,A24),0)+IFERROR(SUMIFS('4. Live Selling Orders'!J$8:J$107,'4. Live Selling Orders'!C$8:C$107,A24),0)+IFERROR(SUMIFS('5. On hand orders PHP'!J$8:J$107,'5. On hand orders PHP'!C$8:C$107,A24),0)+IFERROR(SUMIFS('6. Pre Orders'!J$8:J$107,'6. Pre Orders'!C$8:C$107,A24),0)+IFERROR(SUMIFS('7. Overseas orders'!J$8:J$107,'7. Overseas orders'!C$8:C$107,A24),0)+IFERROR(SUMIFS('10. Restock'!J$8:J$107,'10. Restock'!C$8:C$107,A24),0),IF($E$2="Weekly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5" customFormat="false" ht="19.5" hidden="false" customHeight="true" outlineLevel="0" collapsed="false">
      <c r="A25" s="84" t="str">
        <f aca="true">IF($E$2="Monthly View","May",IF($E$2="Weekly View","Week "&amp;(ROW()-20),YEAR(TODAY())-12+ROW()-19))</f>
        <v>May</v>
      </c>
      <c r="B25" s="33" t="n">
        <f aca="true">IF($E$2="Monthly View",IFERROR(SUMIFS('1. Anime Figures'!D$8:D$107,'1. Anime Figures'!C$8:C$107,A25),0)+IFERROR(SUMIFS('2. Mercari and Online store'!D$8:D$107,'2. Mercari and Online store'!C$8:C$107,A25),0)+IFERROR(SUMIFS('3. Onhand orders JPY'!D$8:D$107,'3. Onhand orders JPY'!C$8:C$107,A25),0)+IFERROR(SUMIFS('4. Live Selling Orders'!D$8:D$107,'4. Live Selling Orders'!C$8:C$107,A25),0)+IFERROR(SUMIFS('5. On hand orders PHP'!D$8:D$107,'5. On hand orders PHP'!C$8:C$107,A25),0)+IFERROR(SUMIFS('6. Pre Orders'!D$8:D$107,'6. Pre Orders'!C$8:C$107,A25),0)+IFERROR(SUMIFS('7. Overseas orders'!D$8:D$107,'7. Overseas orders'!C$8:C$107,A25),0)+IFERROR(SUMIFS('10. Restock'!D$8:D$107,'10. Restock'!C$8:C$107,A25),0),IF($E$2="Weekly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5" s="33" t="n">
        <f aca="true">IF($E$2="Monthly View",IFERROR(SUMIFS('1. Anime Figures'!H$8:H$107,'1. Anime Figures'!C$8:C$107,A25),0)+IFERROR(SUMIFS('2. Mercari and Online store'!H$8:H$107,'2. Mercari and Online store'!C$8:C$107,A25),0)+IFERROR(SUMIFS('3. Onhand orders JPY'!H$8:H$107,'3. Onhand orders JPY'!C$8:C$107,A25),0)+IFERROR(SUMIFS('4. Live Selling Orders'!H$8:H$107,'4. Live Selling Orders'!C$8:C$107,A25),0)+IFERROR(SUMIFS('5. On hand orders PHP'!H$8:H$107,'5. On hand orders PHP'!C$8:C$107,A25),0)+IFERROR(SUMIFS('6. Pre Orders'!H$8:H$107,'6. Pre Orders'!C$8:C$107,A25),0)+IFERROR(SUMIFS('7. Overseas orders'!H$8:H$107,'7. Overseas orders'!C$8:C$107,A25),0)+IFERROR(SUMIFS('10. Restock'!H$8:H$107,'10. Restock'!C$8:C$107,A25),0),IF($E$2="Weekly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5" s="33" t="n">
        <f aca="true">IF($E$2="Monthly View",IFERROR(SUMIFS('1. Anime Figures'!J$8:J$107,'1. Anime Figures'!C$8:C$107,A25),0)+IFERROR(SUMIFS('2. Mercari and Online store'!J$8:J$107,'2. Mercari and Online store'!C$8:C$107,A25),0)+IFERROR(SUMIFS('3. Onhand orders JPY'!J$8:J$107,'3. Onhand orders JPY'!C$8:C$107,A25),0)+IFERROR(SUMIFS('4. Live Selling Orders'!J$8:J$107,'4. Live Selling Orders'!C$8:C$107,A25),0)+IFERROR(SUMIFS('5. On hand orders PHP'!J$8:J$107,'5. On hand orders PHP'!C$8:C$107,A25),0)+IFERROR(SUMIFS('6. Pre Orders'!J$8:J$107,'6. Pre Orders'!C$8:C$107,A25),0)+IFERROR(SUMIFS('7. Overseas orders'!J$8:J$107,'7. Overseas orders'!C$8:C$107,A25),0)+IFERROR(SUMIFS('10. Restock'!J$8:J$107,'10. Restock'!C$8:C$107,A25),0),IF($E$2="Weekly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6" customFormat="false" ht="19.5" hidden="false" customHeight="true" outlineLevel="0" collapsed="false">
      <c r="A26" s="85" t="str">
        <f aca="true">IF($E$2="Monthly View","June",IF($E$2="Weekly View","Week "&amp;(ROW()-20),YEAR(TODAY())-12+ROW()-19))</f>
        <v>June</v>
      </c>
      <c r="B26" s="38" t="n">
        <f aca="true">IF($E$2="Monthly View",IFERROR(SUMIFS('1. Anime Figures'!D$8:D$107,'1. Anime Figures'!C$8:C$107,A26),0)+IFERROR(SUMIFS('2. Mercari and Online store'!D$8:D$107,'2. Mercari and Online store'!C$8:C$107,A26),0)+IFERROR(SUMIFS('3. Onhand orders JPY'!D$8:D$107,'3. Onhand orders JPY'!C$8:C$107,A26),0)+IFERROR(SUMIFS('4. Live Selling Orders'!D$8:D$107,'4. Live Selling Orders'!C$8:C$107,A26),0)+IFERROR(SUMIFS('5. On hand orders PHP'!D$8:D$107,'5. On hand orders PHP'!C$8:C$107,A26),0)+IFERROR(SUMIFS('6. Pre Orders'!D$8:D$107,'6. Pre Orders'!C$8:C$107,A26),0)+IFERROR(SUMIFS('7. Overseas orders'!D$8:D$107,'7. Overseas orders'!C$8:C$107,A26),0)+IFERROR(SUMIFS('10. Restock'!D$8:D$107,'10. Restock'!C$8:C$107,A26),0),IF($E$2="Weekly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6" s="38" t="n">
        <f aca="true">IF($E$2="Monthly View",IFERROR(SUMIFS('1. Anime Figures'!H$8:H$107,'1. Anime Figures'!C$8:C$107,A26),0)+IFERROR(SUMIFS('2. Mercari and Online store'!H$8:H$107,'2. Mercari and Online store'!C$8:C$107,A26),0)+IFERROR(SUMIFS('3. Onhand orders JPY'!H$8:H$107,'3. Onhand orders JPY'!C$8:C$107,A26),0)+IFERROR(SUMIFS('4. Live Selling Orders'!H$8:H$107,'4. Live Selling Orders'!C$8:C$107,A26),0)+IFERROR(SUMIFS('5. On hand orders PHP'!H$8:H$107,'5. On hand orders PHP'!C$8:C$107,A26),0)+IFERROR(SUMIFS('6. Pre Orders'!H$8:H$107,'6. Pre Orders'!C$8:C$107,A26),0)+IFERROR(SUMIFS('7. Overseas orders'!H$8:H$107,'7. Overseas orders'!C$8:C$107,A26),0)+IFERROR(SUMIFS('10. Restock'!H$8:H$107,'10. Restock'!C$8:C$107,A26),0),IF($E$2="Weekly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6" s="38" t="n">
        <f aca="true">IF($E$2="Monthly View",IFERROR(SUMIFS('1. Anime Figures'!J$8:J$107,'1. Anime Figures'!C$8:C$107,A26),0)+IFERROR(SUMIFS('2. Mercari and Online store'!J$8:J$107,'2. Mercari and Online store'!C$8:C$107,A26),0)+IFERROR(SUMIFS('3. Onhand orders JPY'!J$8:J$107,'3. Onhand orders JPY'!C$8:C$107,A26),0)+IFERROR(SUMIFS('4. Live Selling Orders'!J$8:J$107,'4. Live Selling Orders'!C$8:C$107,A26),0)+IFERROR(SUMIFS('5. On hand orders PHP'!J$8:J$107,'5. On hand orders PHP'!C$8:C$107,A26),0)+IFERROR(SUMIFS('6. Pre Orders'!J$8:J$107,'6. Pre Orders'!C$8:C$107,A26),0)+IFERROR(SUMIFS('7. Overseas orders'!J$8:J$107,'7. Overseas orders'!C$8:C$107,A26),0)+IFERROR(SUMIFS('10. Restock'!J$8:J$107,'10. Restock'!C$8:C$107,A26),0),IF($E$2="Weekly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7" customFormat="false" ht="19.5" hidden="false" customHeight="true" outlineLevel="0" collapsed="false">
      <c r="A27" s="84" t="str">
        <f aca="true">IF($E$2="Monthly View","July",IF($E$2="Weekly View","Week "&amp;(ROW()-20),YEAR(TODAY())-12+ROW()-19))</f>
        <v>July</v>
      </c>
      <c r="B27" s="33" t="n">
        <f aca="true">IF($E$2="Monthly View",IFERROR(SUMIFS('1. Anime Figures'!D$8:D$107,'1. Anime Figures'!C$8:C$107,A27),0)+IFERROR(SUMIFS('2. Mercari and Online store'!D$8:D$107,'2. Mercari and Online store'!C$8:C$107,A27),0)+IFERROR(SUMIFS('3. Onhand orders JPY'!D$8:D$107,'3. Onhand orders JPY'!C$8:C$107,A27),0)+IFERROR(SUMIFS('4. Live Selling Orders'!D$8:D$107,'4. Live Selling Orders'!C$8:C$107,A27),0)+IFERROR(SUMIFS('5. On hand orders PHP'!D$8:D$107,'5. On hand orders PHP'!C$8:C$107,A27),0)+IFERROR(SUMIFS('6. Pre Orders'!D$8:D$107,'6. Pre Orders'!C$8:C$107,A27),0)+IFERROR(SUMIFS('7. Overseas orders'!D$8:D$107,'7. Overseas orders'!C$8:C$107,A27),0)+IFERROR(SUMIFS('10. Restock'!D$8:D$107,'10. Restock'!C$8:C$107,A27),0),IF($E$2="Weekly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7" s="33" t="n">
        <f aca="true">IF($E$2="Monthly View",IFERROR(SUMIFS('1. Anime Figures'!H$8:H$107,'1. Anime Figures'!C$8:C$107,A27),0)+IFERROR(SUMIFS('2. Mercari and Online store'!H$8:H$107,'2. Mercari and Online store'!C$8:C$107,A27),0)+IFERROR(SUMIFS('3. Onhand orders JPY'!H$8:H$107,'3. Onhand orders JPY'!C$8:C$107,A27),0)+IFERROR(SUMIFS('4. Live Selling Orders'!H$8:H$107,'4. Live Selling Orders'!C$8:C$107,A27),0)+IFERROR(SUMIFS('5. On hand orders PHP'!H$8:H$107,'5. On hand orders PHP'!C$8:C$107,A27),0)+IFERROR(SUMIFS('6. Pre Orders'!H$8:H$107,'6. Pre Orders'!C$8:C$107,A27),0)+IFERROR(SUMIFS('7. Overseas orders'!H$8:H$107,'7. Overseas orders'!C$8:C$107,A27),0)+IFERROR(SUMIFS('10. Restock'!H$8:H$107,'10. Restock'!C$8:C$107,A27),0),IF($E$2="Weekly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7" s="33" t="n">
        <f aca="true">IF($E$2="Monthly View",IFERROR(SUMIFS('1. Anime Figures'!J$8:J$107,'1. Anime Figures'!C$8:C$107,A27),0)+IFERROR(SUMIFS('2. Mercari and Online store'!J$8:J$107,'2. Mercari and Online store'!C$8:C$107,A27),0)+IFERROR(SUMIFS('3. Onhand orders JPY'!J$8:J$107,'3. Onhand orders JPY'!C$8:C$107,A27),0)+IFERROR(SUMIFS('4. Live Selling Orders'!J$8:J$107,'4. Live Selling Orders'!C$8:C$107,A27),0)+IFERROR(SUMIFS('5. On hand orders PHP'!J$8:J$107,'5. On hand orders PHP'!C$8:C$107,A27),0)+IFERROR(SUMIFS('6. Pre Orders'!J$8:J$107,'6. Pre Orders'!C$8:C$107,A27),0)+IFERROR(SUMIFS('7. Overseas orders'!J$8:J$107,'7. Overseas orders'!C$8:C$107,A27),0)+IFERROR(SUMIFS('10. Restock'!J$8:J$107,'10. Restock'!C$8:C$107,A27),0),IF($E$2="Weekly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8" customFormat="false" ht="19.5" hidden="false" customHeight="true" outlineLevel="0" collapsed="false">
      <c r="A28" s="85" t="str">
        <f aca="true">IF($E$2="Monthly View","August",IF($E$2="Weekly View","Week "&amp;(ROW()-20),YEAR(TODAY())-12+ROW()-19))</f>
        <v>August</v>
      </c>
      <c r="B28" s="38" t="n">
        <f aca="true">IF($E$2="Monthly View",IFERROR(SUMIFS('1. Anime Figures'!D$8:D$107,'1. Anime Figures'!C$8:C$107,A28),0)+IFERROR(SUMIFS('2. Mercari and Online store'!D$8:D$107,'2. Mercari and Online store'!C$8:C$107,A28),0)+IFERROR(SUMIFS('3. Onhand orders JPY'!D$8:D$107,'3. Onhand orders JPY'!C$8:C$107,A28),0)+IFERROR(SUMIFS('4. Live Selling Orders'!D$8:D$107,'4. Live Selling Orders'!C$8:C$107,A28),0)+IFERROR(SUMIFS('5. On hand orders PHP'!D$8:D$107,'5. On hand orders PHP'!C$8:C$107,A28),0)+IFERROR(SUMIFS('6. Pre Orders'!D$8:D$107,'6. Pre Orders'!C$8:C$107,A28),0)+IFERROR(SUMIFS('7. Overseas orders'!D$8:D$107,'7. Overseas orders'!C$8:C$107,A28),0)+IFERROR(SUMIFS('10. Restock'!D$8:D$107,'10. Restock'!C$8:C$107,A28),0),IF($E$2="Weekly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8" s="38" t="n">
        <f aca="true">IF($E$2="Monthly View",IFERROR(SUMIFS('1. Anime Figures'!H$8:H$107,'1. Anime Figures'!C$8:C$107,A28),0)+IFERROR(SUMIFS('2. Mercari and Online store'!H$8:H$107,'2. Mercari and Online store'!C$8:C$107,A28),0)+IFERROR(SUMIFS('3. Onhand orders JPY'!H$8:H$107,'3. Onhand orders JPY'!C$8:C$107,A28),0)+IFERROR(SUMIFS('4. Live Selling Orders'!H$8:H$107,'4. Live Selling Orders'!C$8:C$107,A28),0)+IFERROR(SUMIFS('5. On hand orders PHP'!H$8:H$107,'5. On hand orders PHP'!C$8:C$107,A28),0)+IFERROR(SUMIFS('6. Pre Orders'!H$8:H$107,'6. Pre Orders'!C$8:C$107,A28),0)+IFERROR(SUMIFS('7. Overseas orders'!H$8:H$107,'7. Overseas orders'!C$8:C$107,A28),0)+IFERROR(SUMIFS('10. Restock'!H$8:H$107,'10. Restock'!C$8:C$107,A28),0),IF($E$2="Weekly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8" s="38" t="n">
        <f aca="true">IF($E$2="Monthly View",IFERROR(SUMIFS('1. Anime Figures'!J$8:J$107,'1. Anime Figures'!C$8:C$107,A28),0)+IFERROR(SUMIFS('2. Mercari and Online store'!J$8:J$107,'2. Mercari and Online store'!C$8:C$107,A28),0)+IFERROR(SUMIFS('3. Onhand orders JPY'!J$8:J$107,'3. Onhand orders JPY'!C$8:C$107,A28),0)+IFERROR(SUMIFS('4. Live Selling Orders'!J$8:J$107,'4. Live Selling Orders'!C$8:C$107,A28),0)+IFERROR(SUMIFS('5. On hand orders PHP'!J$8:J$107,'5. On hand orders PHP'!C$8:C$107,A28),0)+IFERROR(SUMIFS('6. Pre Orders'!J$8:J$107,'6. Pre Orders'!C$8:C$107,A28),0)+IFERROR(SUMIFS('7. Overseas orders'!J$8:J$107,'7. Overseas orders'!C$8:C$107,A28),0)+IFERROR(SUMIFS('10. Restock'!J$8:J$107,'10. Restock'!C$8:C$107,A28),0),IF($E$2="Weekly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29" customFormat="false" ht="19.5" hidden="false" customHeight="true" outlineLevel="0" collapsed="false">
      <c r="A29" s="84" t="str">
        <f aca="true">IF($E$2="Monthly View","September",IF($E$2="Weekly View","Week "&amp;(ROW()-20),YEAR(TODAY())-12+ROW()-19))</f>
        <v>September</v>
      </c>
      <c r="B29" s="33" t="n">
        <f aca="true">IF($E$2="Monthly View",IFERROR(SUMIFS('1. Anime Figures'!D$8:D$107,'1. Anime Figures'!C$8:C$107,A29),0)+IFERROR(SUMIFS('2. Mercari and Online store'!D$8:D$107,'2. Mercari and Online store'!C$8:C$107,A29),0)+IFERROR(SUMIFS('3. Onhand orders JPY'!D$8:D$107,'3. Onhand orders JPY'!C$8:C$107,A29),0)+IFERROR(SUMIFS('4. Live Selling Orders'!D$8:D$107,'4. Live Selling Orders'!C$8:C$107,A29),0)+IFERROR(SUMIFS('5. On hand orders PHP'!D$8:D$107,'5. On hand orders PHP'!C$8:C$107,A29),0)+IFERROR(SUMIFS('6. Pre Orders'!D$8:D$107,'6. Pre Orders'!C$8:C$107,A29),0)+IFERROR(SUMIFS('7. Overseas orders'!D$8:D$107,'7. Overseas orders'!C$8:C$107,A29),0)+IFERROR(SUMIFS('10. Restock'!D$8:D$107,'10. Restock'!C$8:C$107,A29),0),IF($E$2="Weekly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29" s="33" t="n">
        <f aca="true">IF($E$2="Monthly View",IFERROR(SUMIFS('1. Anime Figures'!H$8:H$107,'1. Anime Figures'!C$8:C$107,A29),0)+IFERROR(SUMIFS('2. Mercari and Online store'!H$8:H$107,'2. Mercari and Online store'!C$8:C$107,A29),0)+IFERROR(SUMIFS('3. Onhand orders JPY'!H$8:H$107,'3. Onhand orders JPY'!C$8:C$107,A29),0)+IFERROR(SUMIFS('4. Live Selling Orders'!H$8:H$107,'4. Live Selling Orders'!C$8:C$107,A29),0)+IFERROR(SUMIFS('5. On hand orders PHP'!H$8:H$107,'5. On hand orders PHP'!C$8:C$107,A29),0)+IFERROR(SUMIFS('6. Pre Orders'!H$8:H$107,'6. Pre Orders'!C$8:C$107,A29),0)+IFERROR(SUMIFS('7. Overseas orders'!H$8:H$107,'7. Overseas orders'!C$8:C$107,A29),0)+IFERROR(SUMIFS('10. Restock'!H$8:H$107,'10. Restock'!C$8:C$107,A29),0),IF($E$2="Weekly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29" s="33" t="n">
        <f aca="true">IF($E$2="Monthly View",IFERROR(SUMIFS('1. Anime Figures'!J$8:J$107,'1. Anime Figures'!C$8:C$107,A29),0)+IFERROR(SUMIFS('2. Mercari and Online store'!J$8:J$107,'2. Mercari and Online store'!C$8:C$107,A29),0)+IFERROR(SUMIFS('3. Onhand orders JPY'!J$8:J$107,'3. Onhand orders JPY'!C$8:C$107,A29),0)+IFERROR(SUMIFS('4. Live Selling Orders'!J$8:J$107,'4. Live Selling Orders'!C$8:C$107,A29),0)+IFERROR(SUMIFS('5. On hand orders PHP'!J$8:J$107,'5. On hand orders PHP'!C$8:C$107,A29),0)+IFERROR(SUMIFS('6. Pre Orders'!J$8:J$107,'6. Pre Orders'!C$8:C$107,A29),0)+IFERROR(SUMIFS('7. Overseas orders'!J$8:J$107,'7. Overseas orders'!C$8:C$107,A29),0)+IFERROR(SUMIFS('10. Restock'!J$8:J$107,'10. Restock'!C$8:C$107,A29),0),IF($E$2="Weekly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0" customFormat="false" ht="19.5" hidden="false" customHeight="true" outlineLevel="0" collapsed="false">
      <c r="A30" s="85" t="str">
        <f aca="true">IF($E$2="Monthly View","October",IF($E$2="Weekly View","Week "&amp;(ROW()-20),YEAR(TODAY())-12+ROW()-19))</f>
        <v>October</v>
      </c>
      <c r="B30" s="38" t="n">
        <f aca="true">IF($E$2="Monthly View",IFERROR(SUMIFS('1. Anime Figures'!D$8:D$107,'1. Anime Figures'!C$8:C$107,A30),0)+IFERROR(SUMIFS('2. Mercari and Online store'!D$8:D$107,'2. Mercari and Online store'!C$8:C$107,A30),0)+IFERROR(SUMIFS('3. Onhand orders JPY'!D$8:D$107,'3. Onhand orders JPY'!C$8:C$107,A30),0)+IFERROR(SUMIFS('4. Live Selling Orders'!D$8:D$107,'4. Live Selling Orders'!C$8:C$107,A30),0)+IFERROR(SUMIFS('5. On hand orders PHP'!D$8:D$107,'5. On hand orders PHP'!C$8:C$107,A30),0)+IFERROR(SUMIFS('6. Pre Orders'!D$8:D$107,'6. Pre Orders'!C$8:C$107,A30),0)+IFERROR(SUMIFS('7. Overseas orders'!D$8:D$107,'7. Overseas orders'!C$8:C$107,A30),0)+IFERROR(SUMIFS('10. Restock'!D$8:D$107,'10. Restock'!C$8:C$107,A30),0),IF($E$2="Weekly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30" s="38" t="n">
        <f aca="true">IF($E$2="Monthly View",IFERROR(SUMIFS('1. Anime Figures'!H$8:H$107,'1. Anime Figures'!C$8:C$107,A30),0)+IFERROR(SUMIFS('2. Mercari and Online store'!H$8:H$107,'2. Mercari and Online store'!C$8:C$107,A30),0)+IFERROR(SUMIFS('3. Onhand orders JPY'!H$8:H$107,'3. Onhand orders JPY'!C$8:C$107,A30),0)+IFERROR(SUMIFS('4. Live Selling Orders'!H$8:H$107,'4. Live Selling Orders'!C$8:C$107,A30),0)+IFERROR(SUMIFS('5. On hand orders PHP'!H$8:H$107,'5. On hand orders PHP'!C$8:C$107,A30),0)+IFERROR(SUMIFS('6. Pre Orders'!H$8:H$107,'6. Pre Orders'!C$8:C$107,A30),0)+IFERROR(SUMIFS('7. Overseas orders'!H$8:H$107,'7. Overseas orders'!C$8:C$107,A30),0)+IFERROR(SUMIFS('10. Restock'!H$8:H$107,'10. Restock'!C$8:C$107,A30),0),IF($E$2="Weekly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30" s="38" t="n">
        <f aca="true">IF($E$2="Monthly View",IFERROR(SUMIFS('1. Anime Figures'!J$8:J$107,'1. Anime Figures'!C$8:C$107,A30),0)+IFERROR(SUMIFS('2. Mercari and Online store'!J$8:J$107,'2. Mercari and Online store'!C$8:C$107,A30),0)+IFERROR(SUMIFS('3. Onhand orders JPY'!J$8:J$107,'3. Onhand orders JPY'!C$8:C$107,A30),0)+IFERROR(SUMIFS('4. Live Selling Orders'!J$8:J$107,'4. Live Selling Orders'!C$8:C$107,A30),0)+IFERROR(SUMIFS('5. On hand orders PHP'!J$8:J$107,'5. On hand orders PHP'!C$8:C$107,A30),0)+IFERROR(SUMIFS('6. Pre Orders'!J$8:J$107,'6. Pre Orders'!C$8:C$107,A30),0)+IFERROR(SUMIFS('7. Overseas orders'!J$8:J$107,'7. Overseas orders'!C$8:C$107,A30),0)+IFERROR(SUMIFS('10. Restock'!J$8:J$107,'10. Restock'!C$8:C$107,A30),0),IF($E$2="Weekly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1" customFormat="false" ht="19.5" hidden="false" customHeight="true" outlineLevel="0" collapsed="false">
      <c r="A31" s="84" t="str">
        <f aca="true">IF($E$2="Monthly View","November",IF($E$2="Weekly View","Week "&amp;(ROW()-20),YEAR(TODAY())-12+ROW()-19))</f>
        <v>November</v>
      </c>
      <c r="B31" s="33" t="n">
        <f aca="true">IF($E$2="Monthly View",IFERROR(SUMIFS('1. Anime Figures'!D$8:D$107,'1. Anime Figures'!C$8:C$107,A31),0)+IFERROR(SUMIFS('2. Mercari and Online store'!D$8:D$107,'2. Mercari and Online store'!C$8:C$107,A31),0)+IFERROR(SUMIFS('3. Onhand orders JPY'!D$8:D$107,'3. Onhand orders JPY'!C$8:C$107,A31),0)+IFERROR(SUMIFS('4. Live Selling Orders'!D$8:D$107,'4. Live Selling Orders'!C$8:C$107,A31),0)+IFERROR(SUMIFS('5. On hand orders PHP'!D$8:D$107,'5. On hand orders PHP'!C$8:C$107,A31),0)+IFERROR(SUMIFS('6. Pre Orders'!D$8:D$107,'6. Pre Orders'!C$8:C$107,A31),0)+IFERROR(SUMIFS('7. Overseas orders'!D$8:D$107,'7. Overseas orders'!C$8:C$107,A31),0)+IFERROR(SUMIFS('10. Restock'!D$8:D$107,'10. Restock'!C$8:C$107,A31),0),IF($E$2="Weekly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31" s="33" t="n">
        <f aca="true">IF($E$2="Monthly View",IFERROR(SUMIFS('1. Anime Figures'!H$8:H$107,'1. Anime Figures'!C$8:C$107,A31),0)+IFERROR(SUMIFS('2. Mercari and Online store'!H$8:H$107,'2. Mercari and Online store'!C$8:C$107,A31),0)+IFERROR(SUMIFS('3. Onhand orders JPY'!H$8:H$107,'3. Onhand orders JPY'!C$8:C$107,A31),0)+IFERROR(SUMIFS('4. Live Selling Orders'!H$8:H$107,'4. Live Selling Orders'!C$8:C$107,A31),0)+IFERROR(SUMIFS('5. On hand orders PHP'!H$8:H$107,'5. On hand orders PHP'!C$8:C$107,A31),0)+IFERROR(SUMIFS('6. Pre Orders'!H$8:H$107,'6. Pre Orders'!C$8:C$107,A31),0)+IFERROR(SUMIFS('7. Overseas orders'!H$8:H$107,'7. Overseas orders'!C$8:C$107,A31),0)+IFERROR(SUMIFS('10. Restock'!H$8:H$107,'10. Restock'!C$8:C$107,A31),0),IF($E$2="Weekly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31" s="33" t="n">
        <f aca="true">IF($E$2="Monthly View",IFERROR(SUMIFS('1. Anime Figures'!J$8:J$107,'1. Anime Figures'!C$8:C$107,A31),0)+IFERROR(SUMIFS('2. Mercari and Online store'!J$8:J$107,'2. Mercari and Online store'!C$8:C$107,A31),0)+IFERROR(SUMIFS('3. Onhand orders JPY'!J$8:J$107,'3. Onhand orders JPY'!C$8:C$107,A31),0)+IFERROR(SUMIFS('4. Live Selling Orders'!J$8:J$107,'4. Live Selling Orders'!C$8:C$107,A31),0)+IFERROR(SUMIFS('5. On hand orders PHP'!J$8:J$107,'5. On hand orders PHP'!C$8:C$107,A31),0)+IFERROR(SUMIFS('6. Pre Orders'!J$8:J$107,'6. Pre Orders'!C$8:C$107,A31),0)+IFERROR(SUMIFS('7. Overseas orders'!J$8:J$107,'7. Overseas orders'!C$8:C$107,A31),0)+IFERROR(SUMIFS('10. Restock'!J$8:J$107,'10. Restock'!C$8:C$107,A31),0),IF($E$2="Weekly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2" customFormat="false" ht="19.5" hidden="false" customHeight="true" outlineLevel="0" collapsed="false">
      <c r="A32" s="85" t="str">
        <f aca="true">IF($E$2="Monthly View","December",IF($E$2="Weekly View","Week "&amp;(ROW()-20),YEAR(TODAY())-12+ROW()-19))</f>
        <v>December</v>
      </c>
      <c r="B32" s="38" t="n">
        <f aca="true">IF($E$2="Monthly View",IFERROR(SUMIFS('1. Anime Figures'!D$8:D$107,'1. Anime Figures'!C$8:C$107,A32),0)+IFERROR(SUMIFS('2. Mercari and Online store'!D$8:D$107,'2. Mercari and Online store'!C$8:C$107,A32),0)+IFERROR(SUMIFS('3. Onhand orders JPY'!D$8:D$107,'3. Onhand orders JPY'!C$8:C$107,A32),0)+IFERROR(SUMIFS('4. Live Selling Orders'!D$8:D$107,'4. Live Selling Orders'!C$8:C$107,A32),0)+IFERROR(SUMIFS('5. On hand orders PHP'!D$8:D$107,'5. On hand orders PHP'!C$8:C$107,A32),0)+IFERROR(SUMIFS('6. Pre Orders'!D$8:D$107,'6. Pre Orders'!C$8:C$107,A32),0)+IFERROR(SUMIFS('7. Overseas orders'!D$8:D$107,'7. Overseas orders'!C$8:C$107,A32),0)+IFERROR(SUMIFS('10. Restock'!D$8:D$107,'10. Restock'!C$8:C$107,A32),0),IF($E$2="Weekly View",IFERROR(SUMPRODUCT(('1. Anime Figures'!D$8:D$107)*(IFERROR(WEEKNUM('1. Anime Figures'!B$8:B$107,1),0)=ROW()-19)),0)+IFERROR(SUMPRODUCT(('2. Mercari and Online store'!D$8:D$107)*(IFERROR(WEEKNUM('2. Mercari and Online store'!B$8:B$107,1),0)=ROW()-19)),0)+IFERROR(SUMPRODUCT(('3. Onhand orders JPY'!D$8:D$107)*(IFERROR(WEEKNUM('3. Onhand orders JPY'!B$8:B$107,1),0)=ROW()-19)),0)+IFERROR(SUMPRODUCT(('4. Live Selling Orders'!D$8:D$107)*(IFERROR(WEEKNUM('4. Live Selling Orders'!B$8:B$107,1),0)=ROW()-19)),0)+IFERROR(SUMPRODUCT(('5. On hand orders PHP'!D$8:D$107)*(IFERROR(WEEKNUM('5. On hand orders PHP'!B$8:B$107,1),0)=ROW()-19)),0)+IFERROR(SUMPRODUCT(('6. Pre Orders'!D$8:D$107)*(IFERROR(WEEKNUM('6. Pre Orders'!B$8:B$107,1),0)=ROW()-19)),0)+IFERROR(SUMPRODUCT(('7. Overseas orders'!D$8:D$107)*(IFERROR(WEEKNUM('7. Overseas orders'!B$8:B$107,1),0)=ROW()-19)),0)+IFERROR(SUMPRODUCT(('10. Restock'!D$8:D$107)*(IFERROR(WEEKNUM('10. Restock'!B$8:B$107,1),0)=ROW()-19)),0),IFERROR(SUMPRODUCT(('1. Anime Figures'!D$8:D$107)*(IFERROR(YEAR('1. Anime Figures'!B$8:B$107),0)=(YEAR(TODAY())-12+ROW()-19))),0)+IFERROR(SUMPRODUCT(('2. Mercari and Online store'!D$8:D$107)*(IFERROR(YEAR('2. Mercari and Online store'!B$8:B$107),0)=(YEAR(TODAY())-12+ROW()-19))),0)+IFERROR(SUMPRODUCT(('3. Onhand orders JPY'!D$8:D$107)*(IFERROR(YEAR('3. Onhand orders JPY'!B$8:B$107),0)=(YEAR(TODAY())-12+ROW()-19))),0)+IFERROR(SUMPRODUCT(('4. Live Selling Orders'!D$8:D$107)*(IFERROR(YEAR('4. Live Selling Orders'!B$8:B$107),0)=(YEAR(TODAY())-12+ROW()-19))),0)+IFERROR(SUMPRODUCT(('5. On hand orders PHP'!D$8:D$107)*(IFERROR(YEAR('5. On hand orders PHP'!B$8:B$107),0)=(YEAR(TODAY())-12+ROW()-19))),0)+IFERROR(SUMPRODUCT(('6. Pre Orders'!D$8:D$107)*(IFERROR(YEAR('6. Pre Orders'!B$8:B$107),0)=(YEAR(TODAY())-12+ROW()-19))),0)+IFERROR(SUMPRODUCT(('7. Overseas orders'!D$8:D$107)*(IFERROR(YEAR('7. Overseas orders'!B$8:B$107),0)=(YEAR(TODAY())-12+ROW()-19))),0)+IFERROR(SUMPRODUCT(('10. Restock'!D$8:D$107)*(IFERROR(YEAR('10. Restock'!B$8:B$107),0)=(YEAR(TODAY())-12+ROW()-19))),0)))</f>
        <v>0</v>
      </c>
      <c r="C32" s="38" t="n">
        <f aca="true">IF($E$2="Monthly View",IFERROR(SUMIFS('1. Anime Figures'!H$8:H$107,'1. Anime Figures'!C$8:C$107,A32),0)+IFERROR(SUMIFS('2. Mercari and Online store'!H$8:H$107,'2. Mercari and Online store'!C$8:C$107,A32),0)+IFERROR(SUMIFS('3. Onhand orders JPY'!H$8:H$107,'3. Onhand orders JPY'!C$8:C$107,A32),0)+IFERROR(SUMIFS('4. Live Selling Orders'!H$8:H$107,'4. Live Selling Orders'!C$8:C$107,A32),0)+IFERROR(SUMIFS('5. On hand orders PHP'!H$8:H$107,'5. On hand orders PHP'!C$8:C$107,A32),0)+IFERROR(SUMIFS('6. Pre Orders'!H$8:H$107,'6. Pre Orders'!C$8:C$107,A32),0)+IFERROR(SUMIFS('7. Overseas orders'!H$8:H$107,'7. Overseas orders'!C$8:C$107,A32),0)+IFERROR(SUMIFS('10. Restock'!H$8:H$107,'10. Restock'!C$8:C$107,A32),0),IF($E$2="Weekly View",IFERROR(SUMPRODUCT(('1. Anime Figures'!H$8:H$107)*(IFERROR(WEEKNUM('1. Anime Figures'!B$8:B$107,1),0)=ROW()-19)),0)+IFERROR(SUMPRODUCT(('2. Mercari and Online store'!H$8:H$107)*(IFERROR(WEEKNUM('2. Mercari and Online store'!B$8:B$107,1),0)=ROW()-19)),0)+IFERROR(SUMPRODUCT(('3. Onhand orders JPY'!H$8:H$107)*(IFERROR(WEEKNUM('3. Onhand orders JPY'!B$8:B$107,1),0)=ROW()-19)),0)+IFERROR(SUMPRODUCT(('4. Live Selling Orders'!H$8:H$107)*(IFERROR(WEEKNUM('4. Live Selling Orders'!B$8:B$107,1),0)=ROW()-19)),0)+IFERROR(SUMPRODUCT(('5. On hand orders PHP'!H$8:H$107)*(IFERROR(WEEKNUM('5. On hand orders PHP'!B$8:B$107,1),0)=ROW()-19)),0)+IFERROR(SUMPRODUCT(('6. Pre Orders'!H$8:H$107)*(IFERROR(WEEKNUM('6. Pre Orders'!B$8:B$107,1),0)=ROW()-19)),0)+IFERROR(SUMPRODUCT(('7. Overseas orders'!H$8:H$107)*(IFERROR(WEEKNUM('7. Overseas orders'!B$8:B$107,1),0)=ROW()-19)),0)+IFERROR(SUMPRODUCT(('10. Restock'!H$8:H$107)*(IFERROR(WEEKNUM('10. Restock'!B$8:B$107,1),0)=ROW()-19)),0),IFERROR(SUMPRODUCT(('1. Anime Figures'!H$8:H$107)*(IFERROR(YEAR('1. Anime Figures'!B$8:B$107),0)=(YEAR(TODAY())-12+ROW()-19))),0)+IFERROR(SUMPRODUCT(('2. Mercari and Online store'!H$8:H$107)*(IFERROR(YEAR('2. Mercari and Online store'!B$8:B$107),0)=(YEAR(TODAY())-12+ROW()-19))),0)+IFERROR(SUMPRODUCT(('3. Onhand orders JPY'!H$8:H$107)*(IFERROR(YEAR('3. Onhand orders JPY'!B$8:B$107),0)=(YEAR(TODAY())-12+ROW()-19))),0)+IFERROR(SUMPRODUCT(('4. Live Selling Orders'!H$8:H$107)*(IFERROR(YEAR('4. Live Selling Orders'!B$8:B$107),0)=(YEAR(TODAY())-12+ROW()-19))),0)+IFERROR(SUMPRODUCT(('5. On hand orders PHP'!H$8:H$107)*(IFERROR(YEAR('5. On hand orders PHP'!B$8:B$107),0)=(YEAR(TODAY())-12+ROW()-19))),0)+IFERROR(SUMPRODUCT(('6. Pre Orders'!H$8:H$107)*(IFERROR(YEAR('6. Pre Orders'!B$8:B$107),0)=(YEAR(TODAY())-12+ROW()-19))),0)+IFERROR(SUMPRODUCT(('7. Overseas orders'!H$8:H$107)*(IFERROR(YEAR('7. Overseas orders'!B$8:B$107),0)=(YEAR(TODAY())-12+ROW()-19))),0)+IFERROR(SUMPRODUCT(('10. Restock'!H$8:H$107)*(IFERROR(YEAR('10. Restock'!B$8:B$107),0)=(YEAR(TODAY())-12+ROW()-19))),0)))</f>
        <v>0</v>
      </c>
      <c r="D32" s="38" t="n">
        <f aca="true">IF($E$2="Monthly View",IFERROR(SUMIFS('1. Anime Figures'!J$8:J$107,'1. Anime Figures'!C$8:C$107,A32),0)+IFERROR(SUMIFS('2. Mercari and Online store'!J$8:J$107,'2. Mercari and Online store'!C$8:C$107,A32),0)+IFERROR(SUMIFS('3. Onhand orders JPY'!J$8:J$107,'3. Onhand orders JPY'!C$8:C$107,A32),0)+IFERROR(SUMIFS('4. Live Selling Orders'!J$8:J$107,'4. Live Selling Orders'!C$8:C$107,A32),0)+IFERROR(SUMIFS('5. On hand orders PHP'!J$8:J$107,'5. On hand orders PHP'!C$8:C$107,A32),0)+IFERROR(SUMIFS('6. Pre Orders'!J$8:J$107,'6. Pre Orders'!C$8:C$107,A32),0)+IFERROR(SUMIFS('7. Overseas orders'!J$8:J$107,'7. Overseas orders'!C$8:C$107,A32),0)+IFERROR(SUMIFS('10. Restock'!J$8:J$107,'10. Restock'!C$8:C$107,A32),0),IF($E$2="Weekly View",IFERROR(SUMPRODUCT(('1. Anime Figures'!J$8:J$107)*(IFERROR(WEEKNUM('1. Anime Figures'!B$8:B$107,1),0)=ROW()-19)),0)+IFERROR(SUMPRODUCT(('2. Mercari and Online store'!J$8:J$107)*(IFERROR(WEEKNUM('2. Mercari and Online store'!B$8:B$107,1),0)=ROW()-19)),0)+IFERROR(SUMPRODUCT(('3. Onhand orders JPY'!J$8:J$107)*(IFERROR(WEEKNUM('3. Onhand orders JPY'!B$8:B$107,1),0)=ROW()-19)),0)+IFERROR(SUMPRODUCT(('4. Live Selling Orders'!J$8:J$107)*(IFERROR(WEEKNUM('4. Live Selling Orders'!B$8:B$107,1),0)=ROW()-19)),0)+IFERROR(SUMPRODUCT(('5. On hand orders PHP'!J$8:J$107)*(IFERROR(WEEKNUM('5. On hand orders PHP'!B$8:B$107,1),0)=ROW()-19)),0)+IFERROR(SUMPRODUCT(('6. Pre Orders'!J$8:J$107)*(IFERROR(WEEKNUM('6. Pre Orders'!B$8:B$107,1),0)=ROW()-19)),0)+IFERROR(SUMPRODUCT(('7. Overseas orders'!J$8:J$107)*(IFERROR(WEEKNUM('7. Overseas orders'!B$8:B$107,1),0)=ROW()-19)),0)+IFERROR(SUMPRODUCT(('10. Restock'!J$8:J$107)*(IFERROR(WEEKNUM('10. Restock'!B$8:B$107,1),0)=ROW()-19)),0),IFERROR(SUMPRODUCT(('1. Anime Figures'!J$8:J$107)*(IFERROR(YEAR('1. Anime Figures'!B$8:B$107),0)=(YEAR(TODAY())-12+ROW()-19))),0)+IFERROR(SUMPRODUCT(('2. Mercari and Online store'!J$8:J$107)*(IFERROR(YEAR('2. Mercari and Online store'!B$8:B$107),0)=(YEAR(TODAY())-12+ROW()-19))),0)+IFERROR(SUMPRODUCT(('3. Onhand orders JPY'!J$8:J$107)*(IFERROR(YEAR('3. Onhand orders JPY'!B$8:B$107),0)=(YEAR(TODAY())-12+ROW()-19))),0)+IFERROR(SUMPRODUCT(('4. Live Selling Orders'!J$8:J$107)*(IFERROR(YEAR('4. Live Selling Orders'!B$8:B$107),0)=(YEAR(TODAY())-12+ROW()-19))),0)+IFERROR(SUMPRODUCT(('5. On hand orders PHP'!J$8:J$107)*(IFERROR(YEAR('5. On hand orders PHP'!B$8:B$107),0)=(YEAR(TODAY())-12+ROW()-19))),0)+IFERROR(SUMPRODUCT(('6. Pre Orders'!J$8:J$107)*(IFERROR(YEAR('6. Pre Orders'!B$8:B$107),0)=(YEAR(TODAY())-12+ROW()-19))),0)+IFERROR(SUMPRODUCT(('7. Overseas orders'!J$8:J$107)*(IFERROR(YEAR('7. Overseas orders'!B$8:B$107),0)=(YEAR(TODAY())-12+ROW()-19))),0)+IFERROR(SUMPRODUCT(('10. Restock'!J$8:J$107)*(IFERROR(YEAR('10. Restock'!B$8:B$107),0)=(YEAR(TODAY())-12+ROW()-19))),0)))</f>
        <v>0</v>
      </c>
    </row>
    <row r="33" customFormat="false" ht="21.75" hidden="false" customHeight="true" outlineLevel="0" collapsed="false"/>
    <row r="34" customFormat="false" ht="21.75" hidden="false" customHeight="true" outlineLevel="0" collapsed="false">
      <c r="A34" s="54" t="s">
        <v>95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customFormat="false" ht="19.5" hidden="false" customHeight="true" outlineLevel="0" collapsed="false">
      <c r="A35" s="9" t="s">
        <v>96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9.5" hidden="false" customHeight="true" outlineLevel="0" collapsed="false">
      <c r="A36" s="8" t="s">
        <v>97</v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customFormat="false" ht="19.5" hidden="false" customHeight="true" outlineLevel="0" collapsed="false">
      <c r="A37" s="9" t="s">
        <v>98</v>
      </c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9.5" hidden="false" customHeight="true" outlineLevel="0" collapsed="false">
      <c r="A38" s="8" t="s">
        <v>99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customFormat="false" ht="19.5" hidden="false" customHeight="true" outlineLevel="0" collapsed="false">
      <c r="A39" s="9" t="s">
        <v>100</v>
      </c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9.5" hidden="false" customHeight="true" outlineLevel="0" collapsed="false">
      <c r="A40" s="8" t="s">
        <v>101</v>
      </c>
      <c r="B40" s="8"/>
      <c r="C40" s="8"/>
      <c r="D40" s="8"/>
      <c r="E40" s="8"/>
      <c r="F40" s="8"/>
      <c r="G40" s="8"/>
      <c r="H40" s="8"/>
      <c r="I40" s="8"/>
      <c r="J40" s="8"/>
      <c r="K40" s="8"/>
    </row>
    <row r="41" customFormat="false" ht="19.5" hidden="false" customHeight="true" outlineLevel="0" collapsed="false">
      <c r="A41" s="9" t="s">
        <v>102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9.5" hidden="false" customHeight="true" outlineLevel="0" collapsed="false">
      <c r="A42" s="86" t="s">
        <v>103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</row>
    <row r="43" customFormat="false" ht="21.75" hidden="false" customHeight="true" outlineLevel="0" collapsed="false"/>
    <row r="44" customFormat="false" ht="9.75" hidden="false" customHeight="true" outlineLevel="0" collapsed="false">
      <c r="A44" s="87" t="s">
        <v>104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</row>
    <row r="45" customFormat="false" ht="24" hidden="false" customHeight="true" outlineLevel="0" collapsed="false">
      <c r="A45" s="88" t="s">
        <v>105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</row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</sheetData>
  <mergeCells count="23">
    <mergeCell ref="A1:K1"/>
    <mergeCell ref="A4:D4"/>
    <mergeCell ref="F4:K4"/>
    <mergeCell ref="F5:K5"/>
    <mergeCell ref="F6:K8"/>
    <mergeCell ref="F9:K9"/>
    <mergeCell ref="F10:K10"/>
    <mergeCell ref="F11:K13"/>
    <mergeCell ref="F14:K14"/>
    <mergeCell ref="F15:K15"/>
    <mergeCell ref="F16:K17"/>
    <mergeCell ref="A19:K19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4:K44"/>
    <mergeCell ref="A45:K45"/>
  </mergeCells>
  <dataValidations count="2">
    <dataValidation allowBlank="false" errorStyle="stop" operator="between" showDropDown="false" showErrorMessage="false" showInputMessage="false" sqref="B2" type="list">
      <formula1>"January,February,March,April,May,June,July,August,September,October,November,December,Full Year Summary"</formula1>
      <formula2>0</formula2>
    </dataValidation>
    <dataValidation allowBlank="false" errorStyle="stop" operator="between" showDropDown="false" showErrorMessage="false" showInputMessage="false" sqref="E2" type="list">
      <formula1>"Monthly View,Weekly View,Annual Summary"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6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11" min="8" style="1" width="14"/>
    <col collapsed="false" customWidth="true" hidden="false" outlineLevel="0" max="12" min="12" style="1" width="13"/>
    <col collapsed="false" customWidth="true" hidden="false" outlineLevel="0" max="13" min="13" style="1" width="18"/>
    <col collapsed="false" customWidth="true" hidden="false" outlineLevel="0" max="14" min="14" style="1" width="28"/>
    <col collapsed="false" customWidth="true" hidden="false" outlineLevel="0" max="15" min="15" style="1" width="14"/>
    <col collapsed="false" customWidth="true" hidden="false" outlineLevel="0" max="17" min="16" style="1" width="16"/>
    <col collapsed="false" customWidth="true" hidden="false" outlineLevel="0" max="18" min="18" style="1" width="18"/>
    <col collapsed="false" customWidth="true" hidden="true" outlineLevel="0" max="19" min="19" style="0" width="13"/>
  </cols>
  <sheetData>
    <row r="1" customFormat="false" ht="19.5" hidden="false" customHeight="true" outlineLevel="0" collapsed="false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customFormat="false" ht="36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customFormat="false" ht="19.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customFormat="false" ht="25.5" hidden="false" customHeight="true" outlineLevel="0" collapsed="false">
      <c r="A4" s="11" t="s">
        <v>106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customFormat="false" ht="27.75" hidden="false" customHeight="true" outlineLevel="0" collapsed="false">
      <c r="A5" s="12" t="s">
        <v>15</v>
      </c>
      <c r="B5" s="13" t="s">
        <v>16</v>
      </c>
      <c r="C5" s="14"/>
      <c r="D5" s="15" t="str">
        <f aca="false">IF($C$5="","← type above",IFERROR(ROWS(filter($S$8:$S$107,ISNUMBER(SEARCH($C$5,$S$8:$S$107))))&amp;" match(es) found","❌ 0 found"))</f>
        <v>← type above</v>
      </c>
      <c r="E5" s="16" t="s">
        <v>17</v>
      </c>
      <c r="F5" s="17" t="n">
        <v>1</v>
      </c>
      <c r="G5" s="18" t="str">
        <f aca="false">IF($C$5="","— no active search —",IFERROR(INDEX(filter($S$8:$S$107,ISNUMBER(SEARCH($C$5,$S$8:$S$107)),"❌ No Data Found"),VALUE($F$5)),"❌ No Data Found"))</f>
        <v>— no active search —</v>
      </c>
      <c r="H5" s="19" t="str">
        <f aca="false">IFERROR(IF($G$5="❌ No Data Found","—",IF($G$5="— no active search —","—",INDEX($D$8:$D$107,MATCH($G$5,$S$8:$S$107,0)))),"—")</f>
        <v>—</v>
      </c>
      <c r="I5" s="20" t="str">
        <f aca="false">IFERROR(IF($G$5="❌ No Data Found","—",IF($G$5="— no active search —","—",INDEX($F$8:$F$107,MATCH($G$5,$S$8:$S$107,0)))),"—")</f>
        <v>—</v>
      </c>
      <c r="J5" s="21" t="str">
        <f aca="false">IFERROR(IF($G$5="❌ No Data Found","—",IF($G$5="— no active search —","—",INDEX($H$8:$H$107,MATCH($G$5,$S$8:$S$107,0)))),"—")</f>
        <v>—</v>
      </c>
      <c r="K5" s="22" t="str">
        <f aca="false">IFERROR(IF($G$5="❌ No Data Found","—",IF($G$5="— no active search —","—",INDEX($J$8:$J$107,MATCH($G$5,$S$8:$S$107,0)))),"—")</f>
        <v>—</v>
      </c>
      <c r="L5" s="23" t="str">
        <f aca="false">IFERROR(IF($G$5="❌ No Data Found","—",IF($G$5="— no active search —","—",INDEX($L$8:$L$107,MATCH($G$5,$S$8:$S$107,0)))),"—")</f>
        <v>—</v>
      </c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customFormat="false" ht="37.5" hidden="false" customHeight="true" outlineLevel="0" collapsed="false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24</v>
      </c>
      <c r="H7" s="25" t="s">
        <v>25</v>
      </c>
      <c r="I7" s="25" t="s">
        <v>26</v>
      </c>
      <c r="J7" s="25" t="s">
        <v>27</v>
      </c>
      <c r="K7" s="25" t="s">
        <v>28</v>
      </c>
      <c r="L7" s="25" t="s">
        <v>29</v>
      </c>
      <c r="M7" s="25" t="s">
        <v>45</v>
      </c>
      <c r="N7" s="25" t="s">
        <v>46</v>
      </c>
      <c r="O7" s="25" t="s">
        <v>107</v>
      </c>
      <c r="P7" s="25" t="s">
        <v>108</v>
      </c>
      <c r="Q7" s="25" t="s">
        <v>109</v>
      </c>
      <c r="R7" s="25" t="s">
        <v>110</v>
      </c>
      <c r="S7" s="26" t="s">
        <v>30</v>
      </c>
    </row>
    <row r="8" customFormat="false" ht="19.5" hidden="false" customHeight="true" outlineLevel="0" collapsed="false">
      <c r="A8" s="27"/>
      <c r="B8" s="28"/>
      <c r="C8" s="29" t="str">
        <f aca="false">IF(B8="","",TEXT(B8,"mmmm"))</f>
        <v/>
      </c>
      <c r="D8" s="30"/>
      <c r="E8" s="31" t="str">
        <f aca="false">IF(D8="","",D8*'Exchange Rate'!$E$5)</f>
        <v/>
      </c>
      <c r="F8" s="32"/>
      <c r="G8" s="33" t="str">
        <f aca="false">IF(F8="","",F8*'Exchange Rate'!$B$5)</f>
        <v/>
      </c>
      <c r="H8" s="33" t="n">
        <f aca="false">IF(L8="Inactive",0,IF(ISNUMBER(G8)*ISNUMBER(D8),IF(G8&gt;D8,G8-D8,0),0))</f>
        <v>0</v>
      </c>
      <c r="I8" s="31" t="n">
        <f aca="false">IF(L8="Inactive",0,IF(ISNUMBER(F8)*ISNUMBER(E8),IF(F8&gt;E8,F8-E8,0),0))</f>
        <v>0</v>
      </c>
      <c r="J8" s="33" t="n">
        <f aca="false">IF(L8="Inactive",0,IF(ISNUMBER(D8)*ISNUMBER(G8),IF(D8&gt;G8,D8-G8,0),0))</f>
        <v>0</v>
      </c>
      <c r="K8" s="31" t="n">
        <f aca="false">IF(L8="Inactive",0,IF(ISNUMBER(E8)*ISNUMBER(F8),IF(E8&gt;F8,E8-F8,0),0))</f>
        <v>0</v>
      </c>
      <c r="L8" s="34" t="s">
        <v>31</v>
      </c>
      <c r="M8" s="44"/>
      <c r="N8" s="44"/>
      <c r="O8" s="89"/>
      <c r="P8" s="90" t="n">
        <f aca="true">IFERROR(COUNTIFS('2. Mercari and Online store'!$A$8:$A$107,A8,'2. Mercari and Online store'!$B$8:$B$107,"&gt;="&amp;(TODAY()-28))/4,0)</f>
        <v>0</v>
      </c>
      <c r="Q8" s="91" t="str">
        <f aca="false">IFERROR(IF(P8=0,"∞",O8/P8),"—")</f>
        <v>∞</v>
      </c>
      <c r="R8" s="29" t="str">
        <f aca="true">IFERROR(IF(OR(P8=0,O8=""),"N/A",TEXT(TODAY()+(IFERROR(O8/P8,0)*7),"DD-MMM-YYYY")),"—")</f>
        <v>N/A</v>
      </c>
      <c r="S8" s="35" t="str">
        <f aca="false">IF(A8="","—",A8&amp;" ("&amp;TEXT(B8,"MM/DD/YYYY")&amp;")")</f>
        <v>—</v>
      </c>
    </row>
    <row r="9" customFormat="false" ht="19.5" hidden="false" customHeight="true" outlineLevel="0" collapsed="false">
      <c r="A9" s="27"/>
      <c r="B9" s="28"/>
      <c r="C9" s="36" t="str">
        <f aca="false">IF(B9="","",TEXT(B9,"mmmm"))</f>
        <v/>
      </c>
      <c r="D9" s="30"/>
      <c r="E9" s="37" t="str">
        <f aca="false">IF(D9="","",D9*'Exchange Rate'!$E$5)</f>
        <v/>
      </c>
      <c r="F9" s="32"/>
      <c r="G9" s="38" t="str">
        <f aca="false">IF(F9="","",F9*'Exchange Rate'!$B$5)</f>
        <v/>
      </c>
      <c r="H9" s="38" t="n">
        <f aca="false">IF(L9="Inactive",0,IF(ISNUMBER(G9)*ISNUMBER(D9),IF(G9&gt;D9,G9-D9,0),0))</f>
        <v>0</v>
      </c>
      <c r="I9" s="37" t="n">
        <f aca="false">IF(L9="Inactive",0,IF(ISNUMBER(F9)*ISNUMBER(E9),IF(F9&gt;E9,F9-E9,0),0))</f>
        <v>0</v>
      </c>
      <c r="J9" s="38" t="n">
        <f aca="false">IF(L9="Inactive",0,IF(ISNUMBER(D9)*ISNUMBER(G9),IF(D9&gt;G9,D9-G9,0),0))</f>
        <v>0</v>
      </c>
      <c r="K9" s="37" t="n">
        <f aca="false">IF(L9="Inactive",0,IF(ISNUMBER(E9)*ISNUMBER(F9),IF(E9&gt;F9,E9-F9,0),0))</f>
        <v>0</v>
      </c>
      <c r="L9" s="34" t="s">
        <v>31</v>
      </c>
      <c r="M9" s="44"/>
      <c r="N9" s="44"/>
      <c r="O9" s="89"/>
      <c r="P9" s="92" t="n">
        <f aca="true">IFERROR(COUNTIFS('2. Mercari and Online store'!$A$8:$A$107,A9,'2. Mercari and Online store'!$B$8:$B$107,"&gt;="&amp;(TODAY()-28))/4,0)</f>
        <v>0</v>
      </c>
      <c r="Q9" s="93" t="str">
        <f aca="false">IFERROR(IF(P9=0,"∞",O9/P9),"—")</f>
        <v>∞</v>
      </c>
      <c r="R9" s="36" t="str">
        <f aca="true">IFERROR(IF(OR(P9=0,O9=""),"N/A",TEXT(TODAY()+(IFERROR(O9/P9,0)*7),"DD-MMM-YYYY")),"—")</f>
        <v>N/A</v>
      </c>
      <c r="S9" s="35" t="str">
        <f aca="false">IF(A9="","—",A9&amp;" ("&amp;TEXT(B9,"MM/DD/YYYY")&amp;")")</f>
        <v>—</v>
      </c>
    </row>
    <row r="10" customFormat="false" ht="19.5" hidden="false" customHeight="true" outlineLevel="0" collapsed="false">
      <c r="A10" s="27"/>
      <c r="B10" s="28"/>
      <c r="C10" s="29" t="str">
        <f aca="false">IF(B10="","",TEXT(B10,"mmmm"))</f>
        <v/>
      </c>
      <c r="D10" s="30"/>
      <c r="E10" s="31" t="str">
        <f aca="false">IF(D10="","",D10*'Exchange Rate'!$E$5)</f>
        <v/>
      </c>
      <c r="F10" s="32"/>
      <c r="G10" s="33" t="str">
        <f aca="false">IF(F10="","",F10*'Exchange Rate'!$B$5)</f>
        <v/>
      </c>
      <c r="H10" s="33" t="n">
        <f aca="false">IF(L10="Inactive",0,IF(ISNUMBER(G10)*ISNUMBER(D10),IF(G10&gt;D10,G10-D10,0),0))</f>
        <v>0</v>
      </c>
      <c r="I10" s="31" t="n">
        <f aca="false">IF(L10="Inactive",0,IF(ISNUMBER(F10)*ISNUMBER(E10),IF(F10&gt;E10,F10-E10,0),0))</f>
        <v>0</v>
      </c>
      <c r="J10" s="33" t="n">
        <f aca="false">IF(L10="Inactive",0,IF(ISNUMBER(D10)*ISNUMBER(G10),IF(D10&gt;G10,D10-G10,0),0))</f>
        <v>0</v>
      </c>
      <c r="K10" s="31" t="n">
        <f aca="false">IF(L10="Inactive",0,IF(ISNUMBER(E10)*ISNUMBER(F10),IF(E10&gt;F10,E10-F10,0),0))</f>
        <v>0</v>
      </c>
      <c r="L10" s="34" t="s">
        <v>31</v>
      </c>
      <c r="M10" s="44"/>
      <c r="N10" s="44"/>
      <c r="O10" s="89"/>
      <c r="P10" s="90" t="n">
        <f aca="true">IFERROR(COUNTIFS('2. Mercari and Online store'!$A$8:$A$107,A10,'2. Mercari and Online store'!$B$8:$B$107,"&gt;="&amp;(TODAY()-28))/4,0)</f>
        <v>0</v>
      </c>
      <c r="Q10" s="91" t="str">
        <f aca="false">IFERROR(IF(P10=0,"∞",O10/P10),"—")</f>
        <v>∞</v>
      </c>
      <c r="R10" s="29" t="str">
        <f aca="true">IFERROR(IF(OR(P10=0,O10=""),"N/A",TEXT(TODAY()+(IFERROR(O10/P10,0)*7),"DD-MMM-YYYY")),"—")</f>
        <v>N/A</v>
      </c>
      <c r="S10" s="35" t="str">
        <f aca="false">IF(A10="","—",A10&amp;" ("&amp;TEXT(B10,"MM/DD/YYYY")&amp;")")</f>
        <v>—</v>
      </c>
    </row>
    <row r="11" customFormat="false" ht="19.5" hidden="false" customHeight="true" outlineLevel="0" collapsed="false">
      <c r="A11" s="27"/>
      <c r="B11" s="28"/>
      <c r="C11" s="36" t="str">
        <f aca="false">IF(B11="","",TEXT(B11,"mmmm"))</f>
        <v/>
      </c>
      <c r="D11" s="30"/>
      <c r="E11" s="37" t="str">
        <f aca="false">IF(D11="","",D11*'Exchange Rate'!$E$5)</f>
        <v/>
      </c>
      <c r="F11" s="32"/>
      <c r="G11" s="38" t="str">
        <f aca="false">IF(F11="","",F11*'Exchange Rate'!$B$5)</f>
        <v/>
      </c>
      <c r="H11" s="38" t="n">
        <f aca="false">IF(L11="Inactive",0,IF(ISNUMBER(G11)*ISNUMBER(D11),IF(G11&gt;D11,G11-D11,0),0))</f>
        <v>0</v>
      </c>
      <c r="I11" s="37" t="n">
        <f aca="false">IF(L11="Inactive",0,IF(ISNUMBER(F11)*ISNUMBER(E11),IF(F11&gt;E11,F11-E11,0),0))</f>
        <v>0</v>
      </c>
      <c r="J11" s="38" t="n">
        <f aca="false">IF(L11="Inactive",0,IF(ISNUMBER(D11)*ISNUMBER(G11),IF(D11&gt;G11,D11-G11,0),0))</f>
        <v>0</v>
      </c>
      <c r="K11" s="37" t="n">
        <f aca="false">IF(L11="Inactive",0,IF(ISNUMBER(E11)*ISNUMBER(F11),IF(E11&gt;F11,E11-F11,0),0))</f>
        <v>0</v>
      </c>
      <c r="L11" s="34" t="s">
        <v>31</v>
      </c>
      <c r="M11" s="44"/>
      <c r="N11" s="44"/>
      <c r="O11" s="89"/>
      <c r="P11" s="92" t="n">
        <f aca="true">IFERROR(COUNTIFS('2. Mercari and Online store'!$A$8:$A$107,A11,'2. Mercari and Online store'!$B$8:$B$107,"&gt;="&amp;(TODAY()-28))/4,0)</f>
        <v>0</v>
      </c>
      <c r="Q11" s="93" t="str">
        <f aca="false">IFERROR(IF(P11=0,"∞",O11/P11),"—")</f>
        <v>∞</v>
      </c>
      <c r="R11" s="36" t="str">
        <f aca="true">IFERROR(IF(OR(P11=0,O11=""),"N/A",TEXT(TODAY()+(IFERROR(O11/P11,0)*7),"DD-MMM-YYYY")),"—")</f>
        <v>N/A</v>
      </c>
      <c r="S11" s="35" t="str">
        <f aca="false">IF(A11="","—",A11&amp;" ("&amp;TEXT(B11,"MM/DD/YYYY")&amp;")")</f>
        <v>—</v>
      </c>
    </row>
    <row r="12" customFormat="false" ht="19.5" hidden="false" customHeight="true" outlineLevel="0" collapsed="false">
      <c r="A12" s="27"/>
      <c r="B12" s="28"/>
      <c r="C12" s="29" t="str">
        <f aca="false">IF(B12="","",TEXT(B12,"mmmm"))</f>
        <v/>
      </c>
      <c r="D12" s="30"/>
      <c r="E12" s="31" t="str">
        <f aca="false">IF(D12="","",D12*'Exchange Rate'!$E$5)</f>
        <v/>
      </c>
      <c r="F12" s="32"/>
      <c r="G12" s="33" t="str">
        <f aca="false">IF(F12="","",F12*'Exchange Rate'!$B$5)</f>
        <v/>
      </c>
      <c r="H12" s="33" t="n">
        <f aca="false">IF(L12="Inactive",0,IF(ISNUMBER(G12)*ISNUMBER(D12),IF(G12&gt;D12,G12-D12,0),0))</f>
        <v>0</v>
      </c>
      <c r="I12" s="31" t="n">
        <f aca="false">IF(L12="Inactive",0,IF(ISNUMBER(F12)*ISNUMBER(E12),IF(F12&gt;E12,F12-E12,0),0))</f>
        <v>0</v>
      </c>
      <c r="J12" s="33" t="n">
        <f aca="false">IF(L12="Inactive",0,IF(ISNUMBER(D12)*ISNUMBER(G12),IF(D12&gt;G12,D12-G12,0),0))</f>
        <v>0</v>
      </c>
      <c r="K12" s="31" t="n">
        <f aca="false">IF(L12="Inactive",0,IF(ISNUMBER(E12)*ISNUMBER(F12),IF(E12&gt;F12,E12-F12,0),0))</f>
        <v>0</v>
      </c>
      <c r="L12" s="34" t="s">
        <v>31</v>
      </c>
      <c r="M12" s="44"/>
      <c r="N12" s="44"/>
      <c r="O12" s="89"/>
      <c r="P12" s="90" t="n">
        <f aca="true">IFERROR(COUNTIFS('2. Mercari and Online store'!$A$8:$A$107,A12,'2. Mercari and Online store'!$B$8:$B$107,"&gt;="&amp;(TODAY()-28))/4,0)</f>
        <v>0</v>
      </c>
      <c r="Q12" s="91" t="str">
        <f aca="false">IFERROR(IF(P12=0,"∞",O12/P12),"—")</f>
        <v>∞</v>
      </c>
      <c r="R12" s="29" t="str">
        <f aca="true">IFERROR(IF(OR(P12=0,O12=""),"N/A",TEXT(TODAY()+(IFERROR(O12/P12,0)*7),"DD-MMM-YYYY")),"—")</f>
        <v>N/A</v>
      </c>
      <c r="S12" s="35" t="str">
        <f aca="false">IF(A12="","—",A12&amp;" ("&amp;TEXT(B12,"MM/DD/YYYY")&amp;")")</f>
        <v>—</v>
      </c>
    </row>
    <row r="13" customFormat="false" ht="19.5" hidden="false" customHeight="true" outlineLevel="0" collapsed="false">
      <c r="A13" s="27"/>
      <c r="B13" s="28"/>
      <c r="C13" s="36" t="str">
        <f aca="false">IF(B13="","",TEXT(B13,"mmmm"))</f>
        <v/>
      </c>
      <c r="D13" s="30"/>
      <c r="E13" s="37" t="str">
        <f aca="false">IF(D13="","",D13*'Exchange Rate'!$E$5)</f>
        <v/>
      </c>
      <c r="F13" s="32"/>
      <c r="G13" s="38" t="str">
        <f aca="false">IF(F13="","",F13*'Exchange Rate'!$B$5)</f>
        <v/>
      </c>
      <c r="H13" s="38" t="n">
        <f aca="false">IF(L13="Inactive",0,IF(ISNUMBER(G13)*ISNUMBER(D13),IF(G13&gt;D13,G13-D13,0),0))</f>
        <v>0</v>
      </c>
      <c r="I13" s="37" t="n">
        <f aca="false">IF(L13="Inactive",0,IF(ISNUMBER(F13)*ISNUMBER(E13),IF(F13&gt;E13,F13-E13,0),0))</f>
        <v>0</v>
      </c>
      <c r="J13" s="38" t="n">
        <f aca="false">IF(L13="Inactive",0,IF(ISNUMBER(D13)*ISNUMBER(G13),IF(D13&gt;G13,D13-G13,0),0))</f>
        <v>0</v>
      </c>
      <c r="K13" s="37" t="n">
        <f aca="false">IF(L13="Inactive",0,IF(ISNUMBER(E13)*ISNUMBER(F13),IF(E13&gt;F13,E13-F13,0),0))</f>
        <v>0</v>
      </c>
      <c r="L13" s="34" t="s">
        <v>31</v>
      </c>
      <c r="M13" s="44"/>
      <c r="N13" s="44"/>
      <c r="O13" s="89"/>
      <c r="P13" s="92" t="n">
        <f aca="true">IFERROR(COUNTIFS('2. Mercari and Online store'!$A$8:$A$107,A13,'2. Mercari and Online store'!$B$8:$B$107,"&gt;="&amp;(TODAY()-28))/4,0)</f>
        <v>0</v>
      </c>
      <c r="Q13" s="93" t="str">
        <f aca="false">IFERROR(IF(P13=0,"∞",O13/P13),"—")</f>
        <v>∞</v>
      </c>
      <c r="R13" s="36" t="str">
        <f aca="true">IFERROR(IF(OR(P13=0,O13=""),"N/A",TEXT(TODAY()+(IFERROR(O13/P13,0)*7),"DD-MMM-YYYY")),"—")</f>
        <v>N/A</v>
      </c>
      <c r="S13" s="35" t="str">
        <f aca="false">IF(A13="","—",A13&amp;" ("&amp;TEXT(B13,"MM/DD/YYYY")&amp;")")</f>
        <v>—</v>
      </c>
    </row>
    <row r="14" customFormat="false" ht="19.5" hidden="false" customHeight="true" outlineLevel="0" collapsed="false">
      <c r="A14" s="27"/>
      <c r="B14" s="28"/>
      <c r="C14" s="29" t="str">
        <f aca="false">IF(B14="","",TEXT(B14,"mmmm"))</f>
        <v/>
      </c>
      <c r="D14" s="30"/>
      <c r="E14" s="31" t="str">
        <f aca="false">IF(D14="","",D14*'Exchange Rate'!$E$5)</f>
        <v/>
      </c>
      <c r="F14" s="32"/>
      <c r="G14" s="33" t="str">
        <f aca="false">IF(F14="","",F14*'Exchange Rate'!$B$5)</f>
        <v/>
      </c>
      <c r="H14" s="33" t="n">
        <f aca="false">IF(L14="Inactive",0,IF(ISNUMBER(G14)*ISNUMBER(D14),IF(G14&gt;D14,G14-D14,0),0))</f>
        <v>0</v>
      </c>
      <c r="I14" s="31" t="n">
        <f aca="false">IF(L14="Inactive",0,IF(ISNUMBER(F14)*ISNUMBER(E14),IF(F14&gt;E14,F14-E14,0),0))</f>
        <v>0</v>
      </c>
      <c r="J14" s="33" t="n">
        <f aca="false">IF(L14="Inactive",0,IF(ISNUMBER(D14)*ISNUMBER(G14),IF(D14&gt;G14,D14-G14,0),0))</f>
        <v>0</v>
      </c>
      <c r="K14" s="31" t="n">
        <f aca="false">IF(L14="Inactive",0,IF(ISNUMBER(E14)*ISNUMBER(F14),IF(E14&gt;F14,E14-F14,0),0))</f>
        <v>0</v>
      </c>
      <c r="L14" s="34" t="s">
        <v>31</v>
      </c>
      <c r="M14" s="44"/>
      <c r="N14" s="44"/>
      <c r="O14" s="89"/>
      <c r="P14" s="90" t="n">
        <f aca="true">IFERROR(COUNTIFS('2. Mercari and Online store'!$A$8:$A$107,A14,'2. Mercari and Online store'!$B$8:$B$107,"&gt;="&amp;(TODAY()-28))/4,0)</f>
        <v>0</v>
      </c>
      <c r="Q14" s="91" t="str">
        <f aca="false">IFERROR(IF(P14=0,"∞",O14/P14),"—")</f>
        <v>∞</v>
      </c>
      <c r="R14" s="29" t="str">
        <f aca="true">IFERROR(IF(OR(P14=0,O14=""),"N/A",TEXT(TODAY()+(IFERROR(O14/P14,0)*7),"DD-MMM-YYYY")),"—")</f>
        <v>N/A</v>
      </c>
      <c r="S14" s="35" t="str">
        <f aca="false">IF(A14="","—",A14&amp;" ("&amp;TEXT(B14,"MM/DD/YYYY")&amp;")")</f>
        <v>—</v>
      </c>
    </row>
    <row r="15" customFormat="false" ht="19.5" hidden="false" customHeight="true" outlineLevel="0" collapsed="false">
      <c r="A15" s="27"/>
      <c r="B15" s="28"/>
      <c r="C15" s="36" t="str">
        <f aca="false">IF(B15="","",TEXT(B15,"mmmm"))</f>
        <v/>
      </c>
      <c r="D15" s="30"/>
      <c r="E15" s="37" t="str">
        <f aca="false">IF(D15="","",D15*'Exchange Rate'!$E$5)</f>
        <v/>
      </c>
      <c r="F15" s="32"/>
      <c r="G15" s="38" t="str">
        <f aca="false">IF(F15="","",F15*'Exchange Rate'!$B$5)</f>
        <v/>
      </c>
      <c r="H15" s="38" t="n">
        <f aca="false">IF(L15="Inactive",0,IF(ISNUMBER(G15)*ISNUMBER(D15),IF(G15&gt;D15,G15-D15,0),0))</f>
        <v>0</v>
      </c>
      <c r="I15" s="37" t="n">
        <f aca="false">IF(L15="Inactive",0,IF(ISNUMBER(F15)*ISNUMBER(E15),IF(F15&gt;E15,F15-E15,0),0))</f>
        <v>0</v>
      </c>
      <c r="J15" s="38" t="n">
        <f aca="false">IF(L15="Inactive",0,IF(ISNUMBER(D15)*ISNUMBER(G15),IF(D15&gt;G15,D15-G15,0),0))</f>
        <v>0</v>
      </c>
      <c r="K15" s="37" t="n">
        <f aca="false">IF(L15="Inactive",0,IF(ISNUMBER(E15)*ISNUMBER(F15),IF(E15&gt;F15,E15-F15,0),0))</f>
        <v>0</v>
      </c>
      <c r="L15" s="34" t="s">
        <v>31</v>
      </c>
      <c r="M15" s="44"/>
      <c r="N15" s="44"/>
      <c r="O15" s="89"/>
      <c r="P15" s="92" t="n">
        <f aca="true">IFERROR(COUNTIFS('2. Mercari and Online store'!$A$8:$A$107,A15,'2. Mercari and Online store'!$B$8:$B$107,"&gt;="&amp;(TODAY()-28))/4,0)</f>
        <v>0</v>
      </c>
      <c r="Q15" s="93" t="str">
        <f aca="false">IFERROR(IF(P15=0,"∞",O15/P15),"—")</f>
        <v>∞</v>
      </c>
      <c r="R15" s="36" t="str">
        <f aca="true">IFERROR(IF(OR(P15=0,O15=""),"N/A",TEXT(TODAY()+(IFERROR(O15/P15,0)*7),"DD-MMM-YYYY")),"—")</f>
        <v>N/A</v>
      </c>
      <c r="S15" s="35" t="str">
        <f aca="false">IF(A15="","—",A15&amp;" ("&amp;TEXT(B15,"MM/DD/YYYY")&amp;")")</f>
        <v>—</v>
      </c>
    </row>
    <row r="16" customFormat="false" ht="19.5" hidden="false" customHeight="true" outlineLevel="0" collapsed="false">
      <c r="A16" s="27"/>
      <c r="B16" s="28"/>
      <c r="C16" s="29" t="str">
        <f aca="false">IF(B16="","",TEXT(B16,"mmmm"))</f>
        <v/>
      </c>
      <c r="D16" s="30"/>
      <c r="E16" s="31" t="str">
        <f aca="false">IF(D16="","",D16*'Exchange Rate'!$E$5)</f>
        <v/>
      </c>
      <c r="F16" s="32"/>
      <c r="G16" s="33" t="str">
        <f aca="false">IF(F16="","",F16*'Exchange Rate'!$B$5)</f>
        <v/>
      </c>
      <c r="H16" s="33" t="n">
        <f aca="false">IF(L16="Inactive",0,IF(ISNUMBER(G16)*ISNUMBER(D16),IF(G16&gt;D16,G16-D16,0),0))</f>
        <v>0</v>
      </c>
      <c r="I16" s="31" t="n">
        <f aca="false">IF(L16="Inactive",0,IF(ISNUMBER(F16)*ISNUMBER(E16),IF(F16&gt;E16,F16-E16,0),0))</f>
        <v>0</v>
      </c>
      <c r="J16" s="33" t="n">
        <f aca="false">IF(L16="Inactive",0,IF(ISNUMBER(D16)*ISNUMBER(G16),IF(D16&gt;G16,D16-G16,0),0))</f>
        <v>0</v>
      </c>
      <c r="K16" s="31" t="n">
        <f aca="false">IF(L16="Inactive",0,IF(ISNUMBER(E16)*ISNUMBER(F16),IF(E16&gt;F16,E16-F16,0),0))</f>
        <v>0</v>
      </c>
      <c r="L16" s="34" t="s">
        <v>31</v>
      </c>
      <c r="M16" s="44"/>
      <c r="N16" s="44"/>
      <c r="O16" s="89"/>
      <c r="P16" s="90" t="n">
        <f aca="true">IFERROR(COUNTIFS('2. Mercari and Online store'!$A$8:$A$107,A16,'2. Mercari and Online store'!$B$8:$B$107,"&gt;="&amp;(TODAY()-28))/4,0)</f>
        <v>0</v>
      </c>
      <c r="Q16" s="91" t="str">
        <f aca="false">IFERROR(IF(P16=0,"∞",O16/P16),"—")</f>
        <v>∞</v>
      </c>
      <c r="R16" s="29" t="str">
        <f aca="true">IFERROR(IF(OR(P16=0,O16=""),"N/A",TEXT(TODAY()+(IFERROR(O16/P16,0)*7),"DD-MMM-YYYY")),"—")</f>
        <v>N/A</v>
      </c>
      <c r="S16" s="35" t="str">
        <f aca="false">IF(A16="","—",A16&amp;" ("&amp;TEXT(B16,"MM/DD/YYYY")&amp;")")</f>
        <v>—</v>
      </c>
    </row>
    <row r="17" customFormat="false" ht="19.5" hidden="false" customHeight="true" outlineLevel="0" collapsed="false">
      <c r="A17" s="27"/>
      <c r="B17" s="28"/>
      <c r="C17" s="36" t="str">
        <f aca="false">IF(B17="","",TEXT(B17,"mmmm"))</f>
        <v/>
      </c>
      <c r="D17" s="30"/>
      <c r="E17" s="37" t="str">
        <f aca="false">IF(D17="","",D17*'Exchange Rate'!$E$5)</f>
        <v/>
      </c>
      <c r="F17" s="32"/>
      <c r="G17" s="38" t="str">
        <f aca="false">IF(F17="","",F17*'Exchange Rate'!$B$5)</f>
        <v/>
      </c>
      <c r="H17" s="38" t="n">
        <f aca="false">IF(L17="Inactive",0,IF(ISNUMBER(G17)*ISNUMBER(D17),IF(G17&gt;D17,G17-D17,0),0))</f>
        <v>0</v>
      </c>
      <c r="I17" s="37" t="n">
        <f aca="false">IF(L17="Inactive",0,IF(ISNUMBER(F17)*ISNUMBER(E17),IF(F17&gt;E17,F17-E17,0),0))</f>
        <v>0</v>
      </c>
      <c r="J17" s="38" t="n">
        <f aca="false">IF(L17="Inactive",0,IF(ISNUMBER(D17)*ISNUMBER(G17),IF(D17&gt;G17,D17-G17,0),0))</f>
        <v>0</v>
      </c>
      <c r="K17" s="37" t="n">
        <f aca="false">IF(L17="Inactive",0,IF(ISNUMBER(E17)*ISNUMBER(F17),IF(E17&gt;F17,E17-F17,0),0))</f>
        <v>0</v>
      </c>
      <c r="L17" s="34" t="s">
        <v>31</v>
      </c>
      <c r="M17" s="44"/>
      <c r="N17" s="44"/>
      <c r="O17" s="89"/>
      <c r="P17" s="92" t="n">
        <f aca="true">IFERROR(COUNTIFS('2. Mercari and Online store'!$A$8:$A$107,A17,'2. Mercari and Online store'!$B$8:$B$107,"&gt;="&amp;(TODAY()-28))/4,0)</f>
        <v>0</v>
      </c>
      <c r="Q17" s="93" t="str">
        <f aca="false">IFERROR(IF(P17=0,"∞",O17/P17),"—")</f>
        <v>∞</v>
      </c>
      <c r="R17" s="36" t="str">
        <f aca="true">IFERROR(IF(OR(P17=0,O17=""),"N/A",TEXT(TODAY()+(IFERROR(O17/P17,0)*7),"DD-MMM-YYYY")),"—")</f>
        <v>N/A</v>
      </c>
      <c r="S17" s="35" t="str">
        <f aca="false">IF(A17="","—",A17&amp;" ("&amp;TEXT(B17,"MM/DD/YYYY")&amp;")")</f>
        <v>—</v>
      </c>
    </row>
    <row r="18" customFormat="false" ht="19.5" hidden="false" customHeight="true" outlineLevel="0" collapsed="false">
      <c r="A18" s="27"/>
      <c r="B18" s="28"/>
      <c r="C18" s="29" t="str">
        <f aca="false">IF(B18="","",TEXT(B18,"mmmm"))</f>
        <v/>
      </c>
      <c r="D18" s="30"/>
      <c r="E18" s="31" t="str">
        <f aca="false">IF(D18="","",D18*'Exchange Rate'!$E$5)</f>
        <v/>
      </c>
      <c r="F18" s="32"/>
      <c r="G18" s="33" t="str">
        <f aca="false">IF(F18="","",F18*'Exchange Rate'!$B$5)</f>
        <v/>
      </c>
      <c r="H18" s="33" t="n">
        <f aca="false">IF(L18="Inactive",0,IF(ISNUMBER(G18)*ISNUMBER(D18),IF(G18&gt;D18,G18-D18,0),0))</f>
        <v>0</v>
      </c>
      <c r="I18" s="31" t="n">
        <f aca="false">IF(L18="Inactive",0,IF(ISNUMBER(F18)*ISNUMBER(E18),IF(F18&gt;E18,F18-E18,0),0))</f>
        <v>0</v>
      </c>
      <c r="J18" s="33" t="n">
        <f aca="false">IF(L18="Inactive",0,IF(ISNUMBER(D18)*ISNUMBER(G18),IF(D18&gt;G18,D18-G18,0),0))</f>
        <v>0</v>
      </c>
      <c r="K18" s="31" t="n">
        <f aca="false">IF(L18="Inactive",0,IF(ISNUMBER(E18)*ISNUMBER(F18),IF(E18&gt;F18,E18-F18,0),0))</f>
        <v>0</v>
      </c>
      <c r="L18" s="34" t="s">
        <v>31</v>
      </c>
      <c r="M18" s="44"/>
      <c r="N18" s="44"/>
      <c r="O18" s="89"/>
      <c r="P18" s="90" t="n">
        <f aca="true">IFERROR(COUNTIFS('2. Mercari and Online store'!$A$8:$A$107,A18,'2. Mercari and Online store'!$B$8:$B$107,"&gt;="&amp;(TODAY()-28))/4,0)</f>
        <v>0</v>
      </c>
      <c r="Q18" s="91" t="str">
        <f aca="false">IFERROR(IF(P18=0,"∞",O18/P18),"—")</f>
        <v>∞</v>
      </c>
      <c r="R18" s="29" t="str">
        <f aca="true">IFERROR(IF(OR(P18=0,O18=""),"N/A",TEXT(TODAY()+(IFERROR(O18/P18,0)*7),"DD-MMM-YYYY")),"—")</f>
        <v>N/A</v>
      </c>
      <c r="S18" s="35" t="str">
        <f aca="false">IF(A18="","—",A18&amp;" ("&amp;TEXT(B18,"MM/DD/YYYY")&amp;")")</f>
        <v>—</v>
      </c>
    </row>
    <row r="19" customFormat="false" ht="19.5" hidden="false" customHeight="true" outlineLevel="0" collapsed="false">
      <c r="A19" s="27"/>
      <c r="B19" s="28"/>
      <c r="C19" s="36" t="str">
        <f aca="false">IF(B19="","",TEXT(B19,"mmmm"))</f>
        <v/>
      </c>
      <c r="D19" s="30"/>
      <c r="E19" s="37" t="str">
        <f aca="false">IF(D19="","",D19*'Exchange Rate'!$E$5)</f>
        <v/>
      </c>
      <c r="F19" s="32"/>
      <c r="G19" s="38" t="str">
        <f aca="false">IF(F19="","",F19*'Exchange Rate'!$B$5)</f>
        <v/>
      </c>
      <c r="H19" s="38" t="n">
        <f aca="false">IF(L19="Inactive",0,IF(ISNUMBER(G19)*ISNUMBER(D19),IF(G19&gt;D19,G19-D19,0),0))</f>
        <v>0</v>
      </c>
      <c r="I19" s="37" t="n">
        <f aca="false">IF(L19="Inactive",0,IF(ISNUMBER(F19)*ISNUMBER(E19),IF(F19&gt;E19,F19-E19,0),0))</f>
        <v>0</v>
      </c>
      <c r="J19" s="38" t="n">
        <f aca="false">IF(L19="Inactive",0,IF(ISNUMBER(D19)*ISNUMBER(G19),IF(D19&gt;G19,D19-G19,0),0))</f>
        <v>0</v>
      </c>
      <c r="K19" s="37" t="n">
        <f aca="false">IF(L19="Inactive",0,IF(ISNUMBER(E19)*ISNUMBER(F19),IF(E19&gt;F19,E19-F19,0),0))</f>
        <v>0</v>
      </c>
      <c r="L19" s="34" t="s">
        <v>31</v>
      </c>
      <c r="M19" s="44"/>
      <c r="N19" s="44"/>
      <c r="O19" s="89"/>
      <c r="P19" s="92" t="n">
        <f aca="true">IFERROR(COUNTIFS('2. Mercari and Online store'!$A$8:$A$107,A19,'2. Mercari and Online store'!$B$8:$B$107,"&gt;="&amp;(TODAY()-28))/4,0)</f>
        <v>0</v>
      </c>
      <c r="Q19" s="93" t="str">
        <f aca="false">IFERROR(IF(P19=0,"∞",O19/P19),"—")</f>
        <v>∞</v>
      </c>
      <c r="R19" s="36" t="str">
        <f aca="true">IFERROR(IF(OR(P19=0,O19=""),"N/A",TEXT(TODAY()+(IFERROR(O19/P19,0)*7),"DD-MMM-YYYY")),"—")</f>
        <v>N/A</v>
      </c>
      <c r="S19" s="35" t="str">
        <f aca="false">IF(A19="","—",A19&amp;" ("&amp;TEXT(B19,"MM/DD/YYYY")&amp;")")</f>
        <v>—</v>
      </c>
    </row>
    <row r="20" customFormat="false" ht="19.5" hidden="false" customHeight="true" outlineLevel="0" collapsed="false">
      <c r="A20" s="27"/>
      <c r="B20" s="28"/>
      <c r="C20" s="29" t="str">
        <f aca="false">IF(B20="","",TEXT(B20,"mmmm"))</f>
        <v/>
      </c>
      <c r="D20" s="30"/>
      <c r="E20" s="31" t="str">
        <f aca="false">IF(D20="","",D20*'Exchange Rate'!$E$5)</f>
        <v/>
      </c>
      <c r="F20" s="32"/>
      <c r="G20" s="33" t="str">
        <f aca="false">IF(F20="","",F20*'Exchange Rate'!$B$5)</f>
        <v/>
      </c>
      <c r="H20" s="33" t="n">
        <f aca="false">IF(L20="Inactive",0,IF(ISNUMBER(G20)*ISNUMBER(D20),IF(G20&gt;D20,G20-D20,0),0))</f>
        <v>0</v>
      </c>
      <c r="I20" s="31" t="n">
        <f aca="false">IF(L20="Inactive",0,IF(ISNUMBER(F20)*ISNUMBER(E20),IF(F20&gt;E20,F20-E20,0),0))</f>
        <v>0</v>
      </c>
      <c r="J20" s="33" t="n">
        <f aca="false">IF(L20="Inactive",0,IF(ISNUMBER(D20)*ISNUMBER(G20),IF(D20&gt;G20,D20-G20,0),0))</f>
        <v>0</v>
      </c>
      <c r="K20" s="31" t="n">
        <f aca="false">IF(L20="Inactive",0,IF(ISNUMBER(E20)*ISNUMBER(F20),IF(E20&gt;F20,E20-F20,0),0))</f>
        <v>0</v>
      </c>
      <c r="L20" s="34" t="s">
        <v>31</v>
      </c>
      <c r="M20" s="44"/>
      <c r="N20" s="44"/>
      <c r="O20" s="89"/>
      <c r="P20" s="90" t="n">
        <f aca="true">IFERROR(COUNTIFS('2. Mercari and Online store'!$A$8:$A$107,A20,'2. Mercari and Online store'!$B$8:$B$107,"&gt;="&amp;(TODAY()-28))/4,0)</f>
        <v>0</v>
      </c>
      <c r="Q20" s="91" t="str">
        <f aca="false">IFERROR(IF(P20=0,"∞",O20/P20),"—")</f>
        <v>∞</v>
      </c>
      <c r="R20" s="29" t="str">
        <f aca="true">IFERROR(IF(OR(P20=0,O20=""),"N/A",TEXT(TODAY()+(IFERROR(O20/P20,0)*7),"DD-MMM-YYYY")),"—")</f>
        <v>N/A</v>
      </c>
      <c r="S20" s="35" t="str">
        <f aca="false">IF(A20="","—",A20&amp;" ("&amp;TEXT(B20,"MM/DD/YYYY")&amp;")")</f>
        <v>—</v>
      </c>
    </row>
    <row r="21" customFormat="false" ht="19.5" hidden="false" customHeight="true" outlineLevel="0" collapsed="false">
      <c r="A21" s="27"/>
      <c r="B21" s="28"/>
      <c r="C21" s="36" t="str">
        <f aca="false">IF(B21="","",TEXT(B21,"mmmm"))</f>
        <v/>
      </c>
      <c r="D21" s="30"/>
      <c r="E21" s="37" t="str">
        <f aca="false">IF(D21="","",D21*'Exchange Rate'!$E$5)</f>
        <v/>
      </c>
      <c r="F21" s="32"/>
      <c r="G21" s="38" t="str">
        <f aca="false">IF(F21="","",F21*'Exchange Rate'!$B$5)</f>
        <v/>
      </c>
      <c r="H21" s="38" t="n">
        <f aca="false">IF(L21="Inactive",0,IF(ISNUMBER(G21)*ISNUMBER(D21),IF(G21&gt;D21,G21-D21,0),0))</f>
        <v>0</v>
      </c>
      <c r="I21" s="37" t="n">
        <f aca="false">IF(L21="Inactive",0,IF(ISNUMBER(F21)*ISNUMBER(E21),IF(F21&gt;E21,F21-E21,0),0))</f>
        <v>0</v>
      </c>
      <c r="J21" s="38" t="n">
        <f aca="false">IF(L21="Inactive",0,IF(ISNUMBER(D21)*ISNUMBER(G21),IF(D21&gt;G21,D21-G21,0),0))</f>
        <v>0</v>
      </c>
      <c r="K21" s="37" t="n">
        <f aca="false">IF(L21="Inactive",0,IF(ISNUMBER(E21)*ISNUMBER(F21),IF(E21&gt;F21,E21-F21,0),0))</f>
        <v>0</v>
      </c>
      <c r="L21" s="34" t="s">
        <v>31</v>
      </c>
      <c r="M21" s="44"/>
      <c r="N21" s="44"/>
      <c r="O21" s="89"/>
      <c r="P21" s="92" t="n">
        <f aca="true">IFERROR(COUNTIFS('2. Mercari and Online store'!$A$8:$A$107,A21,'2. Mercari and Online store'!$B$8:$B$107,"&gt;="&amp;(TODAY()-28))/4,0)</f>
        <v>0</v>
      </c>
      <c r="Q21" s="93" t="str">
        <f aca="false">IFERROR(IF(P21=0,"∞",O21/P21),"—")</f>
        <v>∞</v>
      </c>
      <c r="R21" s="36" t="str">
        <f aca="true">IFERROR(IF(OR(P21=0,O21=""),"N/A",TEXT(TODAY()+(IFERROR(O21/P21,0)*7),"DD-MMM-YYYY")),"—")</f>
        <v>N/A</v>
      </c>
      <c r="S21" s="35" t="str">
        <f aca="false">IF(A21="","—",A21&amp;" ("&amp;TEXT(B21,"MM/DD/YYYY")&amp;")")</f>
        <v>—</v>
      </c>
    </row>
    <row r="22" customFormat="false" ht="19.5" hidden="false" customHeight="true" outlineLevel="0" collapsed="false">
      <c r="A22" s="27"/>
      <c r="B22" s="28"/>
      <c r="C22" s="29" t="str">
        <f aca="false">IF(B22="","",TEXT(B22,"mmmm"))</f>
        <v/>
      </c>
      <c r="D22" s="30"/>
      <c r="E22" s="31" t="str">
        <f aca="false">IF(D22="","",D22*'Exchange Rate'!$E$5)</f>
        <v/>
      </c>
      <c r="F22" s="32"/>
      <c r="G22" s="33" t="str">
        <f aca="false">IF(F22="","",F22*'Exchange Rate'!$B$5)</f>
        <v/>
      </c>
      <c r="H22" s="33" t="n">
        <f aca="false">IF(L22="Inactive",0,IF(ISNUMBER(G22)*ISNUMBER(D22),IF(G22&gt;D22,G22-D22,0),0))</f>
        <v>0</v>
      </c>
      <c r="I22" s="31" t="n">
        <f aca="false">IF(L22="Inactive",0,IF(ISNUMBER(F22)*ISNUMBER(E22),IF(F22&gt;E22,F22-E22,0),0))</f>
        <v>0</v>
      </c>
      <c r="J22" s="33" t="n">
        <f aca="false">IF(L22="Inactive",0,IF(ISNUMBER(D22)*ISNUMBER(G22),IF(D22&gt;G22,D22-G22,0),0))</f>
        <v>0</v>
      </c>
      <c r="K22" s="31" t="n">
        <f aca="false">IF(L22="Inactive",0,IF(ISNUMBER(E22)*ISNUMBER(F22),IF(E22&gt;F22,E22-F22,0),0))</f>
        <v>0</v>
      </c>
      <c r="L22" s="34" t="s">
        <v>31</v>
      </c>
      <c r="M22" s="44"/>
      <c r="N22" s="44"/>
      <c r="O22" s="89"/>
      <c r="P22" s="90" t="n">
        <f aca="true">IFERROR(COUNTIFS('2. Mercari and Online store'!$A$8:$A$107,A22,'2. Mercari and Online store'!$B$8:$B$107,"&gt;="&amp;(TODAY()-28))/4,0)</f>
        <v>0</v>
      </c>
      <c r="Q22" s="91" t="str">
        <f aca="false">IFERROR(IF(P22=0,"∞",O22/P22),"—")</f>
        <v>∞</v>
      </c>
      <c r="R22" s="29" t="str">
        <f aca="true">IFERROR(IF(OR(P22=0,O22=""),"N/A",TEXT(TODAY()+(IFERROR(O22/P22,0)*7),"DD-MMM-YYYY")),"—")</f>
        <v>N/A</v>
      </c>
      <c r="S22" s="35" t="str">
        <f aca="false">IF(A22="","—",A22&amp;" ("&amp;TEXT(B22,"MM/DD/YYYY")&amp;")")</f>
        <v>—</v>
      </c>
    </row>
    <row r="23" customFormat="false" ht="19.5" hidden="false" customHeight="true" outlineLevel="0" collapsed="false">
      <c r="A23" s="27"/>
      <c r="B23" s="28"/>
      <c r="C23" s="36" t="str">
        <f aca="false">IF(B23="","",TEXT(B23,"mmmm"))</f>
        <v/>
      </c>
      <c r="D23" s="30"/>
      <c r="E23" s="37" t="str">
        <f aca="false">IF(D23="","",D23*'Exchange Rate'!$E$5)</f>
        <v/>
      </c>
      <c r="F23" s="32"/>
      <c r="G23" s="38" t="str">
        <f aca="false">IF(F23="","",F23*'Exchange Rate'!$B$5)</f>
        <v/>
      </c>
      <c r="H23" s="38" t="n">
        <f aca="false">IF(L23="Inactive",0,IF(ISNUMBER(G23)*ISNUMBER(D23),IF(G23&gt;D23,G23-D23,0),0))</f>
        <v>0</v>
      </c>
      <c r="I23" s="37" t="n">
        <f aca="false">IF(L23="Inactive",0,IF(ISNUMBER(F23)*ISNUMBER(E23),IF(F23&gt;E23,F23-E23,0),0))</f>
        <v>0</v>
      </c>
      <c r="J23" s="38" t="n">
        <f aca="false">IF(L23="Inactive",0,IF(ISNUMBER(D23)*ISNUMBER(G23),IF(D23&gt;G23,D23-G23,0),0))</f>
        <v>0</v>
      </c>
      <c r="K23" s="37" t="n">
        <f aca="false">IF(L23="Inactive",0,IF(ISNUMBER(E23)*ISNUMBER(F23),IF(E23&gt;F23,E23-F23,0),0))</f>
        <v>0</v>
      </c>
      <c r="L23" s="34" t="s">
        <v>31</v>
      </c>
      <c r="M23" s="44"/>
      <c r="N23" s="44"/>
      <c r="O23" s="89"/>
      <c r="P23" s="92" t="n">
        <f aca="true">IFERROR(COUNTIFS('2. Mercari and Online store'!$A$8:$A$107,A23,'2. Mercari and Online store'!$B$8:$B$107,"&gt;="&amp;(TODAY()-28))/4,0)</f>
        <v>0</v>
      </c>
      <c r="Q23" s="93" t="str">
        <f aca="false">IFERROR(IF(P23=0,"∞",O23/P23),"—")</f>
        <v>∞</v>
      </c>
      <c r="R23" s="36" t="str">
        <f aca="true">IFERROR(IF(OR(P23=0,O23=""),"N/A",TEXT(TODAY()+(IFERROR(O23/P23,0)*7),"DD-MMM-YYYY")),"—")</f>
        <v>N/A</v>
      </c>
      <c r="S23" s="35" t="str">
        <f aca="false">IF(A23="","—",A23&amp;" ("&amp;TEXT(B23,"MM/DD/YYYY")&amp;")")</f>
        <v>—</v>
      </c>
    </row>
    <row r="24" customFormat="false" ht="19.5" hidden="false" customHeight="true" outlineLevel="0" collapsed="false">
      <c r="A24" s="27"/>
      <c r="B24" s="28"/>
      <c r="C24" s="29" t="str">
        <f aca="false">IF(B24="","",TEXT(B24,"mmmm"))</f>
        <v/>
      </c>
      <c r="D24" s="30"/>
      <c r="E24" s="31" t="str">
        <f aca="false">IF(D24="","",D24*'Exchange Rate'!$E$5)</f>
        <v/>
      </c>
      <c r="F24" s="32"/>
      <c r="G24" s="33" t="str">
        <f aca="false">IF(F24="","",F24*'Exchange Rate'!$B$5)</f>
        <v/>
      </c>
      <c r="H24" s="33" t="n">
        <f aca="false">IF(L24="Inactive",0,IF(ISNUMBER(G24)*ISNUMBER(D24),IF(G24&gt;D24,G24-D24,0),0))</f>
        <v>0</v>
      </c>
      <c r="I24" s="31" t="n">
        <f aca="false">IF(L24="Inactive",0,IF(ISNUMBER(F24)*ISNUMBER(E24),IF(F24&gt;E24,F24-E24,0),0))</f>
        <v>0</v>
      </c>
      <c r="J24" s="33" t="n">
        <f aca="false">IF(L24="Inactive",0,IF(ISNUMBER(D24)*ISNUMBER(G24),IF(D24&gt;G24,D24-G24,0),0))</f>
        <v>0</v>
      </c>
      <c r="K24" s="31" t="n">
        <f aca="false">IF(L24="Inactive",0,IF(ISNUMBER(E24)*ISNUMBER(F24),IF(E24&gt;F24,E24-F24,0),0))</f>
        <v>0</v>
      </c>
      <c r="L24" s="34" t="s">
        <v>31</v>
      </c>
      <c r="M24" s="44"/>
      <c r="N24" s="44"/>
      <c r="O24" s="89"/>
      <c r="P24" s="90" t="n">
        <f aca="true">IFERROR(COUNTIFS('2. Mercari and Online store'!$A$8:$A$107,A24,'2. Mercari and Online store'!$B$8:$B$107,"&gt;="&amp;(TODAY()-28))/4,0)</f>
        <v>0</v>
      </c>
      <c r="Q24" s="91" t="str">
        <f aca="false">IFERROR(IF(P24=0,"∞",O24/P24),"—")</f>
        <v>∞</v>
      </c>
      <c r="R24" s="29" t="str">
        <f aca="true">IFERROR(IF(OR(P24=0,O24=""),"N/A",TEXT(TODAY()+(IFERROR(O24/P24,0)*7),"DD-MMM-YYYY")),"—")</f>
        <v>N/A</v>
      </c>
      <c r="S24" s="35" t="str">
        <f aca="false">IF(A24="","—",A24&amp;" ("&amp;TEXT(B24,"MM/DD/YYYY")&amp;")")</f>
        <v>—</v>
      </c>
    </row>
    <row r="25" customFormat="false" ht="19.5" hidden="false" customHeight="true" outlineLevel="0" collapsed="false">
      <c r="A25" s="27"/>
      <c r="B25" s="28"/>
      <c r="C25" s="36" t="str">
        <f aca="false">IF(B25="","",TEXT(B25,"mmmm"))</f>
        <v/>
      </c>
      <c r="D25" s="30"/>
      <c r="E25" s="37" t="str">
        <f aca="false">IF(D25="","",D25*'Exchange Rate'!$E$5)</f>
        <v/>
      </c>
      <c r="F25" s="32"/>
      <c r="G25" s="38" t="str">
        <f aca="false">IF(F25="","",F25*'Exchange Rate'!$B$5)</f>
        <v/>
      </c>
      <c r="H25" s="38" t="n">
        <f aca="false">IF(L25="Inactive",0,IF(ISNUMBER(G25)*ISNUMBER(D25),IF(G25&gt;D25,G25-D25,0),0))</f>
        <v>0</v>
      </c>
      <c r="I25" s="37" t="n">
        <f aca="false">IF(L25="Inactive",0,IF(ISNUMBER(F25)*ISNUMBER(E25),IF(F25&gt;E25,F25-E25,0),0))</f>
        <v>0</v>
      </c>
      <c r="J25" s="38" t="n">
        <f aca="false">IF(L25="Inactive",0,IF(ISNUMBER(D25)*ISNUMBER(G25),IF(D25&gt;G25,D25-G25,0),0))</f>
        <v>0</v>
      </c>
      <c r="K25" s="37" t="n">
        <f aca="false">IF(L25="Inactive",0,IF(ISNUMBER(E25)*ISNUMBER(F25),IF(E25&gt;F25,E25-F25,0),0))</f>
        <v>0</v>
      </c>
      <c r="L25" s="34" t="s">
        <v>31</v>
      </c>
      <c r="M25" s="44"/>
      <c r="N25" s="44"/>
      <c r="O25" s="89"/>
      <c r="P25" s="92" t="n">
        <f aca="true">IFERROR(COUNTIFS('2. Mercari and Online store'!$A$8:$A$107,A25,'2. Mercari and Online store'!$B$8:$B$107,"&gt;="&amp;(TODAY()-28))/4,0)</f>
        <v>0</v>
      </c>
      <c r="Q25" s="93" t="str">
        <f aca="false">IFERROR(IF(P25=0,"∞",O25/P25),"—")</f>
        <v>∞</v>
      </c>
      <c r="R25" s="36" t="str">
        <f aca="true">IFERROR(IF(OR(P25=0,O25=""),"N/A",TEXT(TODAY()+(IFERROR(O25/P25,0)*7),"DD-MMM-YYYY")),"—")</f>
        <v>N/A</v>
      </c>
      <c r="S25" s="35" t="str">
        <f aca="false">IF(A25="","—",A25&amp;" ("&amp;TEXT(B25,"MM/DD/YYYY")&amp;")")</f>
        <v>—</v>
      </c>
    </row>
    <row r="26" customFormat="false" ht="19.5" hidden="false" customHeight="true" outlineLevel="0" collapsed="false">
      <c r="A26" s="27"/>
      <c r="B26" s="28"/>
      <c r="C26" s="29" t="str">
        <f aca="false">IF(B26="","",TEXT(B26,"mmmm"))</f>
        <v/>
      </c>
      <c r="D26" s="30"/>
      <c r="E26" s="31" t="str">
        <f aca="false">IF(D26="","",D26*'Exchange Rate'!$E$5)</f>
        <v/>
      </c>
      <c r="F26" s="32"/>
      <c r="G26" s="33" t="str">
        <f aca="false">IF(F26="","",F26*'Exchange Rate'!$B$5)</f>
        <v/>
      </c>
      <c r="H26" s="33" t="n">
        <f aca="false">IF(L26="Inactive",0,IF(ISNUMBER(G26)*ISNUMBER(D26),IF(G26&gt;D26,G26-D26,0),0))</f>
        <v>0</v>
      </c>
      <c r="I26" s="31" t="n">
        <f aca="false">IF(L26="Inactive",0,IF(ISNUMBER(F26)*ISNUMBER(E26),IF(F26&gt;E26,F26-E26,0),0))</f>
        <v>0</v>
      </c>
      <c r="J26" s="33" t="n">
        <f aca="false">IF(L26="Inactive",0,IF(ISNUMBER(D26)*ISNUMBER(G26),IF(D26&gt;G26,D26-G26,0),0))</f>
        <v>0</v>
      </c>
      <c r="K26" s="31" t="n">
        <f aca="false">IF(L26="Inactive",0,IF(ISNUMBER(E26)*ISNUMBER(F26),IF(E26&gt;F26,E26-F26,0),0))</f>
        <v>0</v>
      </c>
      <c r="L26" s="34" t="s">
        <v>31</v>
      </c>
      <c r="M26" s="44"/>
      <c r="N26" s="44"/>
      <c r="O26" s="89"/>
      <c r="P26" s="90" t="n">
        <f aca="true">IFERROR(COUNTIFS('2. Mercari and Online store'!$A$8:$A$107,A26,'2. Mercari and Online store'!$B$8:$B$107,"&gt;="&amp;(TODAY()-28))/4,0)</f>
        <v>0</v>
      </c>
      <c r="Q26" s="91" t="str">
        <f aca="false">IFERROR(IF(P26=0,"∞",O26/P26),"—")</f>
        <v>∞</v>
      </c>
      <c r="R26" s="29" t="str">
        <f aca="true">IFERROR(IF(OR(P26=0,O26=""),"N/A",TEXT(TODAY()+(IFERROR(O26/P26,0)*7),"DD-MMM-YYYY")),"—")</f>
        <v>N/A</v>
      </c>
      <c r="S26" s="35" t="str">
        <f aca="false">IF(A26="","—",A26&amp;" ("&amp;TEXT(B26,"MM/DD/YYYY")&amp;")")</f>
        <v>—</v>
      </c>
    </row>
    <row r="27" customFormat="false" ht="19.5" hidden="false" customHeight="true" outlineLevel="0" collapsed="false">
      <c r="A27" s="27"/>
      <c r="B27" s="28"/>
      <c r="C27" s="36" t="str">
        <f aca="false">IF(B27="","",TEXT(B27,"mmmm"))</f>
        <v/>
      </c>
      <c r="D27" s="30"/>
      <c r="E27" s="37" t="str">
        <f aca="false">IF(D27="","",D27*'Exchange Rate'!$E$5)</f>
        <v/>
      </c>
      <c r="F27" s="32"/>
      <c r="G27" s="38" t="str">
        <f aca="false">IF(F27="","",F27*'Exchange Rate'!$B$5)</f>
        <v/>
      </c>
      <c r="H27" s="38" t="n">
        <f aca="false">IF(L27="Inactive",0,IF(ISNUMBER(G27)*ISNUMBER(D27),IF(G27&gt;D27,G27-D27,0),0))</f>
        <v>0</v>
      </c>
      <c r="I27" s="37" t="n">
        <f aca="false">IF(L27="Inactive",0,IF(ISNUMBER(F27)*ISNUMBER(E27),IF(F27&gt;E27,F27-E27,0),0))</f>
        <v>0</v>
      </c>
      <c r="J27" s="38" t="n">
        <f aca="false">IF(L27="Inactive",0,IF(ISNUMBER(D27)*ISNUMBER(G27),IF(D27&gt;G27,D27-G27,0),0))</f>
        <v>0</v>
      </c>
      <c r="K27" s="37" t="n">
        <f aca="false">IF(L27="Inactive",0,IF(ISNUMBER(E27)*ISNUMBER(F27),IF(E27&gt;F27,E27-F27,0),0))</f>
        <v>0</v>
      </c>
      <c r="L27" s="34" t="s">
        <v>31</v>
      </c>
      <c r="M27" s="44"/>
      <c r="N27" s="44"/>
      <c r="O27" s="89"/>
      <c r="P27" s="92" t="n">
        <f aca="true">IFERROR(COUNTIFS('2. Mercari and Online store'!$A$8:$A$107,A27,'2. Mercari and Online store'!$B$8:$B$107,"&gt;="&amp;(TODAY()-28))/4,0)</f>
        <v>0</v>
      </c>
      <c r="Q27" s="93" t="str">
        <f aca="false">IFERROR(IF(P27=0,"∞",O27/P27),"—")</f>
        <v>∞</v>
      </c>
      <c r="R27" s="36" t="str">
        <f aca="true">IFERROR(IF(OR(P27=0,O27=""),"N/A",TEXT(TODAY()+(IFERROR(O27/P27,0)*7),"DD-MMM-YYYY")),"—")</f>
        <v>N/A</v>
      </c>
      <c r="S27" s="35" t="str">
        <f aca="false">IF(A27="","—",A27&amp;" ("&amp;TEXT(B27,"MM/DD/YYYY")&amp;")")</f>
        <v>—</v>
      </c>
    </row>
    <row r="28" customFormat="false" ht="19.5" hidden="false" customHeight="true" outlineLevel="0" collapsed="false">
      <c r="A28" s="27"/>
      <c r="B28" s="28"/>
      <c r="C28" s="29" t="str">
        <f aca="false">IF(B28="","",TEXT(B28,"mmmm"))</f>
        <v/>
      </c>
      <c r="D28" s="30"/>
      <c r="E28" s="31" t="str">
        <f aca="false">IF(D28="","",D28*'Exchange Rate'!$E$5)</f>
        <v/>
      </c>
      <c r="F28" s="32"/>
      <c r="G28" s="33" t="str">
        <f aca="false">IF(F28="","",F28*'Exchange Rate'!$B$5)</f>
        <v/>
      </c>
      <c r="H28" s="33" t="n">
        <f aca="false">IF(L28="Inactive",0,IF(ISNUMBER(G28)*ISNUMBER(D28),IF(G28&gt;D28,G28-D28,0),0))</f>
        <v>0</v>
      </c>
      <c r="I28" s="31" t="n">
        <f aca="false">IF(L28="Inactive",0,IF(ISNUMBER(F28)*ISNUMBER(E28),IF(F28&gt;E28,F28-E28,0),0))</f>
        <v>0</v>
      </c>
      <c r="J28" s="33" t="n">
        <f aca="false">IF(L28="Inactive",0,IF(ISNUMBER(D28)*ISNUMBER(G28),IF(D28&gt;G28,D28-G28,0),0))</f>
        <v>0</v>
      </c>
      <c r="K28" s="31" t="n">
        <f aca="false">IF(L28="Inactive",0,IF(ISNUMBER(E28)*ISNUMBER(F28),IF(E28&gt;F28,E28-F28,0),0))</f>
        <v>0</v>
      </c>
      <c r="L28" s="34" t="s">
        <v>31</v>
      </c>
      <c r="M28" s="44"/>
      <c r="N28" s="44"/>
      <c r="O28" s="89"/>
      <c r="P28" s="90" t="n">
        <f aca="true">IFERROR(COUNTIFS('2. Mercari and Online store'!$A$8:$A$107,A28,'2. Mercari and Online store'!$B$8:$B$107,"&gt;="&amp;(TODAY()-28))/4,0)</f>
        <v>0</v>
      </c>
      <c r="Q28" s="91" t="str">
        <f aca="false">IFERROR(IF(P28=0,"∞",O28/P28),"—")</f>
        <v>∞</v>
      </c>
      <c r="R28" s="29" t="str">
        <f aca="true">IFERROR(IF(OR(P28=0,O28=""),"N/A",TEXT(TODAY()+(IFERROR(O28/P28,0)*7),"DD-MMM-YYYY")),"—")</f>
        <v>N/A</v>
      </c>
      <c r="S28" s="35" t="str">
        <f aca="false">IF(A28="","—",A28&amp;" ("&amp;TEXT(B28,"MM/DD/YYYY")&amp;")")</f>
        <v>—</v>
      </c>
    </row>
    <row r="29" customFormat="false" ht="19.5" hidden="false" customHeight="true" outlineLevel="0" collapsed="false">
      <c r="A29" s="27"/>
      <c r="B29" s="28"/>
      <c r="C29" s="36" t="str">
        <f aca="false">IF(B29="","",TEXT(B29,"mmmm"))</f>
        <v/>
      </c>
      <c r="D29" s="30"/>
      <c r="E29" s="37" t="str">
        <f aca="false">IF(D29="","",D29*'Exchange Rate'!$E$5)</f>
        <v/>
      </c>
      <c r="F29" s="32"/>
      <c r="G29" s="38" t="str">
        <f aca="false">IF(F29="","",F29*'Exchange Rate'!$B$5)</f>
        <v/>
      </c>
      <c r="H29" s="38" t="n">
        <f aca="false">IF(L29="Inactive",0,IF(ISNUMBER(G29)*ISNUMBER(D29),IF(G29&gt;D29,G29-D29,0),0))</f>
        <v>0</v>
      </c>
      <c r="I29" s="37" t="n">
        <f aca="false">IF(L29="Inactive",0,IF(ISNUMBER(F29)*ISNUMBER(E29),IF(F29&gt;E29,F29-E29,0),0))</f>
        <v>0</v>
      </c>
      <c r="J29" s="38" t="n">
        <f aca="false">IF(L29="Inactive",0,IF(ISNUMBER(D29)*ISNUMBER(G29),IF(D29&gt;G29,D29-G29,0),0))</f>
        <v>0</v>
      </c>
      <c r="K29" s="37" t="n">
        <f aca="false">IF(L29="Inactive",0,IF(ISNUMBER(E29)*ISNUMBER(F29),IF(E29&gt;F29,E29-F29,0),0))</f>
        <v>0</v>
      </c>
      <c r="L29" s="34" t="s">
        <v>31</v>
      </c>
      <c r="M29" s="44"/>
      <c r="N29" s="44"/>
      <c r="O29" s="89"/>
      <c r="P29" s="92" t="n">
        <f aca="true">IFERROR(COUNTIFS('2. Mercari and Online store'!$A$8:$A$107,A29,'2. Mercari and Online store'!$B$8:$B$107,"&gt;="&amp;(TODAY()-28))/4,0)</f>
        <v>0</v>
      </c>
      <c r="Q29" s="93" t="str">
        <f aca="false">IFERROR(IF(P29=0,"∞",O29/P29),"—")</f>
        <v>∞</v>
      </c>
      <c r="R29" s="36" t="str">
        <f aca="true">IFERROR(IF(OR(P29=0,O29=""),"N/A",TEXT(TODAY()+(IFERROR(O29/P29,0)*7),"DD-MMM-YYYY")),"—")</f>
        <v>N/A</v>
      </c>
      <c r="S29" s="35" t="str">
        <f aca="false">IF(A29="","—",A29&amp;" ("&amp;TEXT(B29,"MM/DD/YYYY")&amp;")")</f>
        <v>—</v>
      </c>
    </row>
    <row r="30" customFormat="false" ht="19.5" hidden="false" customHeight="true" outlineLevel="0" collapsed="false">
      <c r="A30" s="27"/>
      <c r="B30" s="28"/>
      <c r="C30" s="29" t="str">
        <f aca="false">IF(B30="","",TEXT(B30,"mmmm"))</f>
        <v/>
      </c>
      <c r="D30" s="30"/>
      <c r="E30" s="31" t="str">
        <f aca="false">IF(D30="","",D30*'Exchange Rate'!$E$5)</f>
        <v/>
      </c>
      <c r="F30" s="32"/>
      <c r="G30" s="33" t="str">
        <f aca="false">IF(F30="","",F30*'Exchange Rate'!$B$5)</f>
        <v/>
      </c>
      <c r="H30" s="33" t="n">
        <f aca="false">IF(L30="Inactive",0,IF(ISNUMBER(G30)*ISNUMBER(D30),IF(G30&gt;D30,G30-D30,0),0))</f>
        <v>0</v>
      </c>
      <c r="I30" s="31" t="n">
        <f aca="false">IF(L30="Inactive",0,IF(ISNUMBER(F30)*ISNUMBER(E30),IF(F30&gt;E30,F30-E30,0),0))</f>
        <v>0</v>
      </c>
      <c r="J30" s="33" t="n">
        <f aca="false">IF(L30="Inactive",0,IF(ISNUMBER(D30)*ISNUMBER(G30),IF(D30&gt;G30,D30-G30,0),0))</f>
        <v>0</v>
      </c>
      <c r="K30" s="31" t="n">
        <f aca="false">IF(L30="Inactive",0,IF(ISNUMBER(E30)*ISNUMBER(F30),IF(E30&gt;F30,E30-F30,0),0))</f>
        <v>0</v>
      </c>
      <c r="L30" s="34" t="s">
        <v>31</v>
      </c>
      <c r="M30" s="44"/>
      <c r="N30" s="44"/>
      <c r="O30" s="89"/>
      <c r="P30" s="90" t="n">
        <f aca="true">IFERROR(COUNTIFS('2. Mercari and Online store'!$A$8:$A$107,A30,'2. Mercari and Online store'!$B$8:$B$107,"&gt;="&amp;(TODAY()-28))/4,0)</f>
        <v>0</v>
      </c>
      <c r="Q30" s="91" t="str">
        <f aca="false">IFERROR(IF(P30=0,"∞",O30/P30),"—")</f>
        <v>∞</v>
      </c>
      <c r="R30" s="29" t="str">
        <f aca="true">IFERROR(IF(OR(P30=0,O30=""),"N/A",TEXT(TODAY()+(IFERROR(O30/P30,0)*7),"DD-MMM-YYYY")),"—")</f>
        <v>N/A</v>
      </c>
      <c r="S30" s="35" t="str">
        <f aca="false">IF(A30="","—",A30&amp;" ("&amp;TEXT(B30,"MM/DD/YYYY")&amp;")")</f>
        <v>—</v>
      </c>
    </row>
    <row r="31" customFormat="false" ht="19.5" hidden="false" customHeight="true" outlineLevel="0" collapsed="false">
      <c r="A31" s="27"/>
      <c r="B31" s="28"/>
      <c r="C31" s="36" t="str">
        <f aca="false">IF(B31="","",TEXT(B31,"mmmm"))</f>
        <v/>
      </c>
      <c r="D31" s="30"/>
      <c r="E31" s="37" t="str">
        <f aca="false">IF(D31="","",D31*'Exchange Rate'!$E$5)</f>
        <v/>
      </c>
      <c r="F31" s="32"/>
      <c r="G31" s="38" t="str">
        <f aca="false">IF(F31="","",F31*'Exchange Rate'!$B$5)</f>
        <v/>
      </c>
      <c r="H31" s="38" t="n">
        <f aca="false">IF(L31="Inactive",0,IF(ISNUMBER(G31)*ISNUMBER(D31),IF(G31&gt;D31,G31-D31,0),0))</f>
        <v>0</v>
      </c>
      <c r="I31" s="37" t="n">
        <f aca="false">IF(L31="Inactive",0,IF(ISNUMBER(F31)*ISNUMBER(E31),IF(F31&gt;E31,F31-E31,0),0))</f>
        <v>0</v>
      </c>
      <c r="J31" s="38" t="n">
        <f aca="false">IF(L31="Inactive",0,IF(ISNUMBER(D31)*ISNUMBER(G31),IF(D31&gt;G31,D31-G31,0),0))</f>
        <v>0</v>
      </c>
      <c r="K31" s="37" t="n">
        <f aca="false">IF(L31="Inactive",0,IF(ISNUMBER(E31)*ISNUMBER(F31),IF(E31&gt;F31,E31-F31,0),0))</f>
        <v>0</v>
      </c>
      <c r="L31" s="34" t="s">
        <v>31</v>
      </c>
      <c r="M31" s="44"/>
      <c r="N31" s="44"/>
      <c r="O31" s="89"/>
      <c r="P31" s="92" t="n">
        <f aca="true">IFERROR(COUNTIFS('2. Mercari and Online store'!$A$8:$A$107,A31,'2. Mercari and Online store'!$B$8:$B$107,"&gt;="&amp;(TODAY()-28))/4,0)</f>
        <v>0</v>
      </c>
      <c r="Q31" s="93" t="str">
        <f aca="false">IFERROR(IF(P31=0,"∞",O31/P31),"—")</f>
        <v>∞</v>
      </c>
      <c r="R31" s="36" t="str">
        <f aca="true">IFERROR(IF(OR(P31=0,O31=""),"N/A",TEXT(TODAY()+(IFERROR(O31/P31,0)*7),"DD-MMM-YYYY")),"—")</f>
        <v>N/A</v>
      </c>
      <c r="S31" s="35" t="str">
        <f aca="false">IF(A31="","—",A31&amp;" ("&amp;TEXT(B31,"MM/DD/YYYY")&amp;")")</f>
        <v>—</v>
      </c>
    </row>
    <row r="32" customFormat="false" ht="19.5" hidden="false" customHeight="true" outlineLevel="0" collapsed="false">
      <c r="A32" s="27"/>
      <c r="B32" s="28"/>
      <c r="C32" s="29" t="str">
        <f aca="false">IF(B32="","",TEXT(B32,"mmmm"))</f>
        <v/>
      </c>
      <c r="D32" s="30"/>
      <c r="E32" s="31" t="str">
        <f aca="false">IF(D32="","",D32*'Exchange Rate'!$E$5)</f>
        <v/>
      </c>
      <c r="F32" s="32"/>
      <c r="G32" s="33" t="str">
        <f aca="false">IF(F32="","",F32*'Exchange Rate'!$B$5)</f>
        <v/>
      </c>
      <c r="H32" s="33" t="n">
        <f aca="false">IF(L32="Inactive",0,IF(ISNUMBER(G32)*ISNUMBER(D32),IF(G32&gt;D32,G32-D32,0),0))</f>
        <v>0</v>
      </c>
      <c r="I32" s="31" t="n">
        <f aca="false">IF(L32="Inactive",0,IF(ISNUMBER(F32)*ISNUMBER(E32),IF(F32&gt;E32,F32-E32,0),0))</f>
        <v>0</v>
      </c>
      <c r="J32" s="33" t="n">
        <f aca="false">IF(L32="Inactive",0,IF(ISNUMBER(D32)*ISNUMBER(G32),IF(D32&gt;G32,D32-G32,0),0))</f>
        <v>0</v>
      </c>
      <c r="K32" s="31" t="n">
        <f aca="false">IF(L32="Inactive",0,IF(ISNUMBER(E32)*ISNUMBER(F32),IF(E32&gt;F32,E32-F32,0),0))</f>
        <v>0</v>
      </c>
      <c r="L32" s="34" t="s">
        <v>31</v>
      </c>
      <c r="M32" s="44"/>
      <c r="N32" s="44"/>
      <c r="O32" s="89"/>
      <c r="P32" s="90" t="n">
        <f aca="true">IFERROR(COUNTIFS('2. Mercari and Online store'!$A$8:$A$107,A32,'2. Mercari and Online store'!$B$8:$B$107,"&gt;="&amp;(TODAY()-28))/4,0)</f>
        <v>0</v>
      </c>
      <c r="Q32" s="91" t="str">
        <f aca="false">IFERROR(IF(P32=0,"∞",O32/P32),"—")</f>
        <v>∞</v>
      </c>
      <c r="R32" s="29" t="str">
        <f aca="true">IFERROR(IF(OR(P32=0,O32=""),"N/A",TEXT(TODAY()+(IFERROR(O32/P32,0)*7),"DD-MMM-YYYY")),"—")</f>
        <v>N/A</v>
      </c>
      <c r="S32" s="35" t="str">
        <f aca="false">IF(A32="","—",A32&amp;" ("&amp;TEXT(B32,"MM/DD/YYYY")&amp;")")</f>
        <v>—</v>
      </c>
    </row>
    <row r="33" customFormat="false" ht="19.5" hidden="false" customHeight="true" outlineLevel="0" collapsed="false">
      <c r="A33" s="27"/>
      <c r="B33" s="28"/>
      <c r="C33" s="36" t="str">
        <f aca="false">IF(B33="","",TEXT(B33,"mmmm"))</f>
        <v/>
      </c>
      <c r="D33" s="30"/>
      <c r="E33" s="37" t="str">
        <f aca="false">IF(D33="","",D33*'Exchange Rate'!$E$5)</f>
        <v/>
      </c>
      <c r="F33" s="32"/>
      <c r="G33" s="38" t="str">
        <f aca="false">IF(F33="","",F33*'Exchange Rate'!$B$5)</f>
        <v/>
      </c>
      <c r="H33" s="38" t="n">
        <f aca="false">IF(L33="Inactive",0,IF(ISNUMBER(G33)*ISNUMBER(D33),IF(G33&gt;D33,G33-D33,0),0))</f>
        <v>0</v>
      </c>
      <c r="I33" s="37" t="n">
        <f aca="false">IF(L33="Inactive",0,IF(ISNUMBER(F33)*ISNUMBER(E33),IF(F33&gt;E33,F33-E33,0),0))</f>
        <v>0</v>
      </c>
      <c r="J33" s="38" t="n">
        <f aca="false">IF(L33="Inactive",0,IF(ISNUMBER(D33)*ISNUMBER(G33),IF(D33&gt;G33,D33-G33,0),0))</f>
        <v>0</v>
      </c>
      <c r="K33" s="37" t="n">
        <f aca="false">IF(L33="Inactive",0,IF(ISNUMBER(E33)*ISNUMBER(F33),IF(E33&gt;F33,E33-F33,0),0))</f>
        <v>0</v>
      </c>
      <c r="L33" s="34" t="s">
        <v>31</v>
      </c>
      <c r="M33" s="44"/>
      <c r="N33" s="44"/>
      <c r="O33" s="89"/>
      <c r="P33" s="92" t="n">
        <f aca="true">IFERROR(COUNTIFS('2. Mercari and Online store'!$A$8:$A$107,A33,'2. Mercari and Online store'!$B$8:$B$107,"&gt;="&amp;(TODAY()-28))/4,0)</f>
        <v>0</v>
      </c>
      <c r="Q33" s="93" t="str">
        <f aca="false">IFERROR(IF(P33=0,"∞",O33/P33),"—")</f>
        <v>∞</v>
      </c>
      <c r="R33" s="36" t="str">
        <f aca="true">IFERROR(IF(OR(P33=0,O33=""),"N/A",TEXT(TODAY()+(IFERROR(O33/P33,0)*7),"DD-MMM-YYYY")),"—")</f>
        <v>N/A</v>
      </c>
      <c r="S33" s="35" t="str">
        <f aca="false">IF(A33="","—",A33&amp;" ("&amp;TEXT(B33,"MM/DD/YYYY")&amp;")")</f>
        <v>—</v>
      </c>
    </row>
    <row r="34" customFormat="false" ht="19.5" hidden="false" customHeight="true" outlineLevel="0" collapsed="false">
      <c r="A34" s="27"/>
      <c r="B34" s="28"/>
      <c r="C34" s="29" t="str">
        <f aca="false">IF(B34="","",TEXT(B34,"mmmm"))</f>
        <v/>
      </c>
      <c r="D34" s="30"/>
      <c r="E34" s="31" t="str">
        <f aca="false">IF(D34="","",D34*'Exchange Rate'!$E$5)</f>
        <v/>
      </c>
      <c r="F34" s="32"/>
      <c r="G34" s="33" t="str">
        <f aca="false">IF(F34="","",F34*'Exchange Rate'!$B$5)</f>
        <v/>
      </c>
      <c r="H34" s="33" t="n">
        <f aca="false">IF(L34="Inactive",0,IF(ISNUMBER(G34)*ISNUMBER(D34),IF(G34&gt;D34,G34-D34,0),0))</f>
        <v>0</v>
      </c>
      <c r="I34" s="31" t="n">
        <f aca="false">IF(L34="Inactive",0,IF(ISNUMBER(F34)*ISNUMBER(E34),IF(F34&gt;E34,F34-E34,0),0))</f>
        <v>0</v>
      </c>
      <c r="J34" s="33" t="n">
        <f aca="false">IF(L34="Inactive",0,IF(ISNUMBER(D34)*ISNUMBER(G34),IF(D34&gt;G34,D34-G34,0),0))</f>
        <v>0</v>
      </c>
      <c r="K34" s="31" t="n">
        <f aca="false">IF(L34="Inactive",0,IF(ISNUMBER(E34)*ISNUMBER(F34),IF(E34&gt;F34,E34-F34,0),0))</f>
        <v>0</v>
      </c>
      <c r="L34" s="34" t="s">
        <v>31</v>
      </c>
      <c r="M34" s="44"/>
      <c r="N34" s="44"/>
      <c r="O34" s="89"/>
      <c r="P34" s="90" t="n">
        <f aca="true">IFERROR(COUNTIFS('2. Mercari and Online store'!$A$8:$A$107,A34,'2. Mercari and Online store'!$B$8:$B$107,"&gt;="&amp;(TODAY()-28))/4,0)</f>
        <v>0</v>
      </c>
      <c r="Q34" s="91" t="str">
        <f aca="false">IFERROR(IF(P34=0,"∞",O34/P34),"—")</f>
        <v>∞</v>
      </c>
      <c r="R34" s="29" t="str">
        <f aca="true">IFERROR(IF(OR(P34=0,O34=""),"N/A",TEXT(TODAY()+(IFERROR(O34/P34,0)*7),"DD-MMM-YYYY")),"—")</f>
        <v>N/A</v>
      </c>
      <c r="S34" s="35" t="str">
        <f aca="false">IF(A34="","—",A34&amp;" ("&amp;TEXT(B34,"MM/DD/YYYY")&amp;")")</f>
        <v>—</v>
      </c>
    </row>
    <row r="35" customFormat="false" ht="19.5" hidden="false" customHeight="true" outlineLevel="0" collapsed="false">
      <c r="A35" s="27"/>
      <c r="B35" s="28"/>
      <c r="C35" s="36" t="str">
        <f aca="false">IF(B35="","",TEXT(B35,"mmmm"))</f>
        <v/>
      </c>
      <c r="D35" s="30"/>
      <c r="E35" s="37" t="str">
        <f aca="false">IF(D35="","",D35*'Exchange Rate'!$E$5)</f>
        <v/>
      </c>
      <c r="F35" s="32"/>
      <c r="G35" s="38" t="str">
        <f aca="false">IF(F35="","",F35*'Exchange Rate'!$B$5)</f>
        <v/>
      </c>
      <c r="H35" s="38" t="n">
        <f aca="false">IF(L35="Inactive",0,IF(ISNUMBER(G35)*ISNUMBER(D35),IF(G35&gt;D35,G35-D35,0),0))</f>
        <v>0</v>
      </c>
      <c r="I35" s="37" t="n">
        <f aca="false">IF(L35="Inactive",0,IF(ISNUMBER(F35)*ISNUMBER(E35),IF(F35&gt;E35,F35-E35,0),0))</f>
        <v>0</v>
      </c>
      <c r="J35" s="38" t="n">
        <f aca="false">IF(L35="Inactive",0,IF(ISNUMBER(D35)*ISNUMBER(G35),IF(D35&gt;G35,D35-G35,0),0))</f>
        <v>0</v>
      </c>
      <c r="K35" s="37" t="n">
        <f aca="false">IF(L35="Inactive",0,IF(ISNUMBER(E35)*ISNUMBER(F35),IF(E35&gt;F35,E35-F35,0),0))</f>
        <v>0</v>
      </c>
      <c r="L35" s="34" t="s">
        <v>31</v>
      </c>
      <c r="M35" s="44"/>
      <c r="N35" s="44"/>
      <c r="O35" s="89"/>
      <c r="P35" s="92" t="n">
        <f aca="true">IFERROR(COUNTIFS('2. Mercari and Online store'!$A$8:$A$107,A35,'2. Mercari and Online store'!$B$8:$B$107,"&gt;="&amp;(TODAY()-28))/4,0)</f>
        <v>0</v>
      </c>
      <c r="Q35" s="93" t="str">
        <f aca="false">IFERROR(IF(P35=0,"∞",O35/P35),"—")</f>
        <v>∞</v>
      </c>
      <c r="R35" s="36" t="str">
        <f aca="true">IFERROR(IF(OR(P35=0,O35=""),"N/A",TEXT(TODAY()+(IFERROR(O35/P35,0)*7),"DD-MMM-YYYY")),"—")</f>
        <v>N/A</v>
      </c>
      <c r="S35" s="35" t="str">
        <f aca="false">IF(A35="","—",A35&amp;" ("&amp;TEXT(B35,"MM/DD/YYYY")&amp;")")</f>
        <v>—</v>
      </c>
    </row>
    <row r="36" customFormat="false" ht="19.5" hidden="false" customHeight="true" outlineLevel="0" collapsed="false">
      <c r="A36" s="27"/>
      <c r="B36" s="28"/>
      <c r="C36" s="29" t="str">
        <f aca="false">IF(B36="","",TEXT(B36,"mmmm"))</f>
        <v/>
      </c>
      <c r="D36" s="30"/>
      <c r="E36" s="31" t="str">
        <f aca="false">IF(D36="","",D36*'Exchange Rate'!$E$5)</f>
        <v/>
      </c>
      <c r="F36" s="32"/>
      <c r="G36" s="33" t="str">
        <f aca="false">IF(F36="","",F36*'Exchange Rate'!$B$5)</f>
        <v/>
      </c>
      <c r="H36" s="33" t="n">
        <f aca="false">IF(L36="Inactive",0,IF(ISNUMBER(G36)*ISNUMBER(D36),IF(G36&gt;D36,G36-D36,0),0))</f>
        <v>0</v>
      </c>
      <c r="I36" s="31" t="n">
        <f aca="false">IF(L36="Inactive",0,IF(ISNUMBER(F36)*ISNUMBER(E36),IF(F36&gt;E36,F36-E36,0),0))</f>
        <v>0</v>
      </c>
      <c r="J36" s="33" t="n">
        <f aca="false">IF(L36="Inactive",0,IF(ISNUMBER(D36)*ISNUMBER(G36),IF(D36&gt;G36,D36-G36,0),0))</f>
        <v>0</v>
      </c>
      <c r="K36" s="31" t="n">
        <f aca="false">IF(L36="Inactive",0,IF(ISNUMBER(E36)*ISNUMBER(F36),IF(E36&gt;F36,E36-F36,0),0))</f>
        <v>0</v>
      </c>
      <c r="L36" s="34" t="s">
        <v>31</v>
      </c>
      <c r="M36" s="44"/>
      <c r="N36" s="44"/>
      <c r="O36" s="89"/>
      <c r="P36" s="90" t="n">
        <f aca="true">IFERROR(COUNTIFS('2. Mercari and Online store'!$A$8:$A$107,A36,'2. Mercari and Online store'!$B$8:$B$107,"&gt;="&amp;(TODAY()-28))/4,0)</f>
        <v>0</v>
      </c>
      <c r="Q36" s="91" t="str">
        <f aca="false">IFERROR(IF(P36=0,"∞",O36/P36),"—")</f>
        <v>∞</v>
      </c>
      <c r="R36" s="29" t="str">
        <f aca="true">IFERROR(IF(OR(P36=0,O36=""),"N/A",TEXT(TODAY()+(IFERROR(O36/P36,0)*7),"DD-MMM-YYYY")),"—")</f>
        <v>N/A</v>
      </c>
      <c r="S36" s="35" t="str">
        <f aca="false">IF(A36="","—",A36&amp;" ("&amp;TEXT(B36,"MM/DD/YYYY")&amp;")")</f>
        <v>—</v>
      </c>
    </row>
    <row r="37" customFormat="false" ht="19.5" hidden="false" customHeight="true" outlineLevel="0" collapsed="false">
      <c r="A37" s="27"/>
      <c r="B37" s="28"/>
      <c r="C37" s="36" t="str">
        <f aca="false">IF(B37="","",TEXT(B37,"mmmm"))</f>
        <v/>
      </c>
      <c r="D37" s="30"/>
      <c r="E37" s="37" t="str">
        <f aca="false">IF(D37="","",D37*'Exchange Rate'!$E$5)</f>
        <v/>
      </c>
      <c r="F37" s="32"/>
      <c r="G37" s="38" t="str">
        <f aca="false">IF(F37="","",F37*'Exchange Rate'!$B$5)</f>
        <v/>
      </c>
      <c r="H37" s="38" t="n">
        <f aca="false">IF(L37="Inactive",0,IF(ISNUMBER(G37)*ISNUMBER(D37),IF(G37&gt;D37,G37-D37,0),0))</f>
        <v>0</v>
      </c>
      <c r="I37" s="37" t="n">
        <f aca="false">IF(L37="Inactive",0,IF(ISNUMBER(F37)*ISNUMBER(E37),IF(F37&gt;E37,F37-E37,0),0))</f>
        <v>0</v>
      </c>
      <c r="J37" s="38" t="n">
        <f aca="false">IF(L37="Inactive",0,IF(ISNUMBER(D37)*ISNUMBER(G37),IF(D37&gt;G37,D37-G37,0),0))</f>
        <v>0</v>
      </c>
      <c r="K37" s="37" t="n">
        <f aca="false">IF(L37="Inactive",0,IF(ISNUMBER(E37)*ISNUMBER(F37),IF(E37&gt;F37,E37-F37,0),0))</f>
        <v>0</v>
      </c>
      <c r="L37" s="34" t="s">
        <v>31</v>
      </c>
      <c r="M37" s="44"/>
      <c r="N37" s="44"/>
      <c r="O37" s="89"/>
      <c r="P37" s="92" t="n">
        <f aca="true">IFERROR(COUNTIFS('2. Mercari and Online store'!$A$8:$A$107,A37,'2. Mercari and Online store'!$B$8:$B$107,"&gt;="&amp;(TODAY()-28))/4,0)</f>
        <v>0</v>
      </c>
      <c r="Q37" s="93" t="str">
        <f aca="false">IFERROR(IF(P37=0,"∞",O37/P37),"—")</f>
        <v>∞</v>
      </c>
      <c r="R37" s="36" t="str">
        <f aca="true">IFERROR(IF(OR(P37=0,O37=""),"N/A",TEXT(TODAY()+(IFERROR(O37/P37,0)*7),"DD-MMM-YYYY")),"—")</f>
        <v>N/A</v>
      </c>
      <c r="S37" s="35" t="str">
        <f aca="false">IF(A37="","—",A37&amp;" ("&amp;TEXT(B37,"MM/DD/YYYY")&amp;")")</f>
        <v>—</v>
      </c>
    </row>
    <row r="38" customFormat="false" ht="19.5" hidden="false" customHeight="true" outlineLevel="0" collapsed="false">
      <c r="A38" s="27"/>
      <c r="B38" s="28"/>
      <c r="C38" s="29" t="str">
        <f aca="false">IF(B38="","",TEXT(B38,"mmmm"))</f>
        <v/>
      </c>
      <c r="D38" s="30"/>
      <c r="E38" s="31" t="str">
        <f aca="false">IF(D38="","",D38*'Exchange Rate'!$E$5)</f>
        <v/>
      </c>
      <c r="F38" s="32"/>
      <c r="G38" s="33" t="str">
        <f aca="false">IF(F38="","",F38*'Exchange Rate'!$B$5)</f>
        <v/>
      </c>
      <c r="H38" s="33" t="n">
        <f aca="false">IF(L38="Inactive",0,IF(ISNUMBER(G38)*ISNUMBER(D38),IF(G38&gt;D38,G38-D38,0),0))</f>
        <v>0</v>
      </c>
      <c r="I38" s="31" t="n">
        <f aca="false">IF(L38="Inactive",0,IF(ISNUMBER(F38)*ISNUMBER(E38),IF(F38&gt;E38,F38-E38,0),0))</f>
        <v>0</v>
      </c>
      <c r="J38" s="33" t="n">
        <f aca="false">IF(L38="Inactive",0,IF(ISNUMBER(D38)*ISNUMBER(G38),IF(D38&gt;G38,D38-G38,0),0))</f>
        <v>0</v>
      </c>
      <c r="K38" s="31" t="n">
        <f aca="false">IF(L38="Inactive",0,IF(ISNUMBER(E38)*ISNUMBER(F38),IF(E38&gt;F38,E38-F38,0),0))</f>
        <v>0</v>
      </c>
      <c r="L38" s="34" t="s">
        <v>31</v>
      </c>
      <c r="M38" s="44"/>
      <c r="N38" s="44"/>
      <c r="O38" s="89"/>
      <c r="P38" s="90" t="n">
        <f aca="true">IFERROR(COUNTIFS('2. Mercari and Online store'!$A$8:$A$107,A38,'2. Mercari and Online store'!$B$8:$B$107,"&gt;="&amp;(TODAY()-28))/4,0)</f>
        <v>0</v>
      </c>
      <c r="Q38" s="91" t="str">
        <f aca="false">IFERROR(IF(P38=0,"∞",O38/P38),"—")</f>
        <v>∞</v>
      </c>
      <c r="R38" s="29" t="str">
        <f aca="true">IFERROR(IF(OR(P38=0,O38=""),"N/A",TEXT(TODAY()+(IFERROR(O38/P38,0)*7),"DD-MMM-YYYY")),"—")</f>
        <v>N/A</v>
      </c>
      <c r="S38" s="35" t="str">
        <f aca="false">IF(A38="","—",A38&amp;" ("&amp;TEXT(B38,"MM/DD/YYYY")&amp;")")</f>
        <v>—</v>
      </c>
    </row>
    <row r="39" customFormat="false" ht="19.5" hidden="false" customHeight="true" outlineLevel="0" collapsed="false">
      <c r="A39" s="27"/>
      <c r="B39" s="28"/>
      <c r="C39" s="36" t="str">
        <f aca="false">IF(B39="","",TEXT(B39,"mmmm"))</f>
        <v/>
      </c>
      <c r="D39" s="30"/>
      <c r="E39" s="37" t="str">
        <f aca="false">IF(D39="","",D39*'Exchange Rate'!$E$5)</f>
        <v/>
      </c>
      <c r="F39" s="32"/>
      <c r="G39" s="38" t="str">
        <f aca="false">IF(F39="","",F39*'Exchange Rate'!$B$5)</f>
        <v/>
      </c>
      <c r="H39" s="38" t="n">
        <f aca="false">IF(L39="Inactive",0,IF(ISNUMBER(G39)*ISNUMBER(D39),IF(G39&gt;D39,G39-D39,0),0))</f>
        <v>0</v>
      </c>
      <c r="I39" s="37" t="n">
        <f aca="false">IF(L39="Inactive",0,IF(ISNUMBER(F39)*ISNUMBER(E39),IF(F39&gt;E39,F39-E39,0),0))</f>
        <v>0</v>
      </c>
      <c r="J39" s="38" t="n">
        <f aca="false">IF(L39="Inactive",0,IF(ISNUMBER(D39)*ISNUMBER(G39),IF(D39&gt;G39,D39-G39,0),0))</f>
        <v>0</v>
      </c>
      <c r="K39" s="37" t="n">
        <f aca="false">IF(L39="Inactive",0,IF(ISNUMBER(E39)*ISNUMBER(F39),IF(E39&gt;F39,E39-F39,0),0))</f>
        <v>0</v>
      </c>
      <c r="L39" s="34" t="s">
        <v>31</v>
      </c>
      <c r="M39" s="44"/>
      <c r="N39" s="44"/>
      <c r="O39" s="89"/>
      <c r="P39" s="92" t="n">
        <f aca="true">IFERROR(COUNTIFS('2. Mercari and Online store'!$A$8:$A$107,A39,'2. Mercari and Online store'!$B$8:$B$107,"&gt;="&amp;(TODAY()-28))/4,0)</f>
        <v>0</v>
      </c>
      <c r="Q39" s="93" t="str">
        <f aca="false">IFERROR(IF(P39=0,"∞",O39/P39),"—")</f>
        <v>∞</v>
      </c>
      <c r="R39" s="36" t="str">
        <f aca="true">IFERROR(IF(OR(P39=0,O39=""),"N/A",TEXT(TODAY()+(IFERROR(O39/P39,0)*7),"DD-MMM-YYYY")),"—")</f>
        <v>N/A</v>
      </c>
      <c r="S39" s="35" t="str">
        <f aca="false">IF(A39="","—",A39&amp;" ("&amp;TEXT(B39,"MM/DD/YYYY")&amp;")")</f>
        <v>—</v>
      </c>
    </row>
    <row r="40" customFormat="false" ht="19.5" hidden="false" customHeight="true" outlineLevel="0" collapsed="false">
      <c r="A40" s="27"/>
      <c r="B40" s="28"/>
      <c r="C40" s="29" t="str">
        <f aca="false">IF(B40="","",TEXT(B40,"mmmm"))</f>
        <v/>
      </c>
      <c r="D40" s="30"/>
      <c r="E40" s="31" t="str">
        <f aca="false">IF(D40="","",D40*'Exchange Rate'!$E$5)</f>
        <v/>
      </c>
      <c r="F40" s="32"/>
      <c r="G40" s="33" t="str">
        <f aca="false">IF(F40="","",F40*'Exchange Rate'!$B$5)</f>
        <v/>
      </c>
      <c r="H40" s="33" t="n">
        <f aca="false">IF(L40="Inactive",0,IF(ISNUMBER(G40)*ISNUMBER(D40),IF(G40&gt;D40,G40-D40,0),0))</f>
        <v>0</v>
      </c>
      <c r="I40" s="31" t="n">
        <f aca="false">IF(L40="Inactive",0,IF(ISNUMBER(F40)*ISNUMBER(E40),IF(F40&gt;E40,F40-E40,0),0))</f>
        <v>0</v>
      </c>
      <c r="J40" s="33" t="n">
        <f aca="false">IF(L40="Inactive",0,IF(ISNUMBER(D40)*ISNUMBER(G40),IF(D40&gt;G40,D40-G40,0),0))</f>
        <v>0</v>
      </c>
      <c r="K40" s="31" t="n">
        <f aca="false">IF(L40="Inactive",0,IF(ISNUMBER(E40)*ISNUMBER(F40),IF(E40&gt;F40,E40-F40,0),0))</f>
        <v>0</v>
      </c>
      <c r="L40" s="34" t="s">
        <v>31</v>
      </c>
      <c r="M40" s="44"/>
      <c r="N40" s="44"/>
      <c r="O40" s="89"/>
      <c r="P40" s="90" t="n">
        <f aca="true">IFERROR(COUNTIFS('2. Mercari and Online store'!$A$8:$A$107,A40,'2. Mercari and Online store'!$B$8:$B$107,"&gt;="&amp;(TODAY()-28))/4,0)</f>
        <v>0</v>
      </c>
      <c r="Q40" s="91" t="str">
        <f aca="false">IFERROR(IF(P40=0,"∞",O40/P40),"—")</f>
        <v>∞</v>
      </c>
      <c r="R40" s="29" t="str">
        <f aca="true">IFERROR(IF(OR(P40=0,O40=""),"N/A",TEXT(TODAY()+(IFERROR(O40/P40,0)*7),"DD-MMM-YYYY")),"—")</f>
        <v>N/A</v>
      </c>
      <c r="S40" s="35" t="str">
        <f aca="false">IF(A40="","—",A40&amp;" ("&amp;TEXT(B40,"MM/DD/YYYY")&amp;")")</f>
        <v>—</v>
      </c>
    </row>
    <row r="41" customFormat="false" ht="19.5" hidden="false" customHeight="true" outlineLevel="0" collapsed="false">
      <c r="A41" s="27"/>
      <c r="B41" s="28"/>
      <c r="C41" s="36" t="str">
        <f aca="false">IF(B41="","",TEXT(B41,"mmmm"))</f>
        <v/>
      </c>
      <c r="D41" s="30"/>
      <c r="E41" s="37" t="str">
        <f aca="false">IF(D41="","",D41*'Exchange Rate'!$E$5)</f>
        <v/>
      </c>
      <c r="F41" s="32"/>
      <c r="G41" s="38" t="str">
        <f aca="false">IF(F41="","",F41*'Exchange Rate'!$B$5)</f>
        <v/>
      </c>
      <c r="H41" s="38" t="n">
        <f aca="false">IF(L41="Inactive",0,IF(ISNUMBER(G41)*ISNUMBER(D41),IF(G41&gt;D41,G41-D41,0),0))</f>
        <v>0</v>
      </c>
      <c r="I41" s="37" t="n">
        <f aca="false">IF(L41="Inactive",0,IF(ISNUMBER(F41)*ISNUMBER(E41),IF(F41&gt;E41,F41-E41,0),0))</f>
        <v>0</v>
      </c>
      <c r="J41" s="38" t="n">
        <f aca="false">IF(L41="Inactive",0,IF(ISNUMBER(D41)*ISNUMBER(G41),IF(D41&gt;G41,D41-G41,0),0))</f>
        <v>0</v>
      </c>
      <c r="K41" s="37" t="n">
        <f aca="false">IF(L41="Inactive",0,IF(ISNUMBER(E41)*ISNUMBER(F41),IF(E41&gt;F41,E41-F41,0),0))</f>
        <v>0</v>
      </c>
      <c r="L41" s="34" t="s">
        <v>31</v>
      </c>
      <c r="M41" s="44"/>
      <c r="N41" s="44"/>
      <c r="O41" s="89"/>
      <c r="P41" s="92" t="n">
        <f aca="true">IFERROR(COUNTIFS('2. Mercari and Online store'!$A$8:$A$107,A41,'2. Mercari and Online store'!$B$8:$B$107,"&gt;="&amp;(TODAY()-28))/4,0)</f>
        <v>0</v>
      </c>
      <c r="Q41" s="93" t="str">
        <f aca="false">IFERROR(IF(P41=0,"∞",O41/P41),"—")</f>
        <v>∞</v>
      </c>
      <c r="R41" s="36" t="str">
        <f aca="true">IFERROR(IF(OR(P41=0,O41=""),"N/A",TEXT(TODAY()+(IFERROR(O41/P41,0)*7),"DD-MMM-YYYY")),"—")</f>
        <v>N/A</v>
      </c>
      <c r="S41" s="35" t="str">
        <f aca="false">IF(A41="","—",A41&amp;" ("&amp;TEXT(B41,"MM/DD/YYYY")&amp;")")</f>
        <v>—</v>
      </c>
    </row>
    <row r="42" customFormat="false" ht="19.5" hidden="false" customHeight="true" outlineLevel="0" collapsed="false">
      <c r="A42" s="27"/>
      <c r="B42" s="28"/>
      <c r="C42" s="29" t="str">
        <f aca="false">IF(B42="","",TEXT(B42,"mmmm"))</f>
        <v/>
      </c>
      <c r="D42" s="30"/>
      <c r="E42" s="31" t="str">
        <f aca="false">IF(D42="","",D42*'Exchange Rate'!$E$5)</f>
        <v/>
      </c>
      <c r="F42" s="32"/>
      <c r="G42" s="33" t="str">
        <f aca="false">IF(F42="","",F42*'Exchange Rate'!$B$5)</f>
        <v/>
      </c>
      <c r="H42" s="33" t="n">
        <f aca="false">IF(L42="Inactive",0,IF(ISNUMBER(G42)*ISNUMBER(D42),IF(G42&gt;D42,G42-D42,0),0))</f>
        <v>0</v>
      </c>
      <c r="I42" s="31" t="n">
        <f aca="false">IF(L42="Inactive",0,IF(ISNUMBER(F42)*ISNUMBER(E42),IF(F42&gt;E42,F42-E42,0),0))</f>
        <v>0</v>
      </c>
      <c r="J42" s="33" t="n">
        <f aca="false">IF(L42="Inactive",0,IF(ISNUMBER(D42)*ISNUMBER(G42),IF(D42&gt;G42,D42-G42,0),0))</f>
        <v>0</v>
      </c>
      <c r="K42" s="31" t="n">
        <f aca="false">IF(L42="Inactive",0,IF(ISNUMBER(E42)*ISNUMBER(F42),IF(E42&gt;F42,E42-F42,0),0))</f>
        <v>0</v>
      </c>
      <c r="L42" s="34" t="s">
        <v>31</v>
      </c>
      <c r="M42" s="44"/>
      <c r="N42" s="44"/>
      <c r="O42" s="89"/>
      <c r="P42" s="90" t="n">
        <f aca="true">IFERROR(COUNTIFS('2. Mercari and Online store'!$A$8:$A$107,A42,'2. Mercari and Online store'!$B$8:$B$107,"&gt;="&amp;(TODAY()-28))/4,0)</f>
        <v>0</v>
      </c>
      <c r="Q42" s="91" t="str">
        <f aca="false">IFERROR(IF(P42=0,"∞",O42/P42),"—")</f>
        <v>∞</v>
      </c>
      <c r="R42" s="29" t="str">
        <f aca="true">IFERROR(IF(OR(P42=0,O42=""),"N/A",TEXT(TODAY()+(IFERROR(O42/P42,0)*7),"DD-MMM-YYYY")),"—")</f>
        <v>N/A</v>
      </c>
      <c r="S42" s="35" t="str">
        <f aca="false">IF(A42="","—",A42&amp;" ("&amp;TEXT(B42,"MM/DD/YYYY")&amp;")")</f>
        <v>—</v>
      </c>
    </row>
    <row r="43" customFormat="false" ht="19.5" hidden="false" customHeight="true" outlineLevel="0" collapsed="false">
      <c r="A43" s="27"/>
      <c r="B43" s="28"/>
      <c r="C43" s="36" t="str">
        <f aca="false">IF(B43="","",TEXT(B43,"mmmm"))</f>
        <v/>
      </c>
      <c r="D43" s="30"/>
      <c r="E43" s="37" t="str">
        <f aca="false">IF(D43="","",D43*'Exchange Rate'!$E$5)</f>
        <v/>
      </c>
      <c r="F43" s="32"/>
      <c r="G43" s="38" t="str">
        <f aca="false">IF(F43="","",F43*'Exchange Rate'!$B$5)</f>
        <v/>
      </c>
      <c r="H43" s="38" t="n">
        <f aca="false">IF(L43="Inactive",0,IF(ISNUMBER(G43)*ISNUMBER(D43),IF(G43&gt;D43,G43-D43,0),0))</f>
        <v>0</v>
      </c>
      <c r="I43" s="37" t="n">
        <f aca="false">IF(L43="Inactive",0,IF(ISNUMBER(F43)*ISNUMBER(E43),IF(F43&gt;E43,F43-E43,0),0))</f>
        <v>0</v>
      </c>
      <c r="J43" s="38" t="n">
        <f aca="false">IF(L43="Inactive",0,IF(ISNUMBER(D43)*ISNUMBER(G43),IF(D43&gt;G43,D43-G43,0),0))</f>
        <v>0</v>
      </c>
      <c r="K43" s="37" t="n">
        <f aca="false">IF(L43="Inactive",0,IF(ISNUMBER(E43)*ISNUMBER(F43),IF(E43&gt;F43,E43-F43,0),0))</f>
        <v>0</v>
      </c>
      <c r="L43" s="34" t="s">
        <v>31</v>
      </c>
      <c r="M43" s="44"/>
      <c r="N43" s="44"/>
      <c r="O43" s="89"/>
      <c r="P43" s="92" t="n">
        <f aca="true">IFERROR(COUNTIFS('2. Mercari and Online store'!$A$8:$A$107,A43,'2. Mercari and Online store'!$B$8:$B$107,"&gt;="&amp;(TODAY()-28))/4,0)</f>
        <v>0</v>
      </c>
      <c r="Q43" s="93" t="str">
        <f aca="false">IFERROR(IF(P43=0,"∞",O43/P43),"—")</f>
        <v>∞</v>
      </c>
      <c r="R43" s="36" t="str">
        <f aca="true">IFERROR(IF(OR(P43=0,O43=""),"N/A",TEXT(TODAY()+(IFERROR(O43/P43,0)*7),"DD-MMM-YYYY")),"—")</f>
        <v>N/A</v>
      </c>
      <c r="S43" s="35" t="str">
        <f aca="false">IF(A43="","—",A43&amp;" ("&amp;TEXT(B43,"MM/DD/YYYY")&amp;")")</f>
        <v>—</v>
      </c>
    </row>
    <row r="44" customFormat="false" ht="19.5" hidden="false" customHeight="true" outlineLevel="0" collapsed="false">
      <c r="A44" s="27"/>
      <c r="B44" s="28"/>
      <c r="C44" s="29" t="str">
        <f aca="false">IF(B44="","",TEXT(B44,"mmmm"))</f>
        <v/>
      </c>
      <c r="D44" s="30"/>
      <c r="E44" s="31" t="str">
        <f aca="false">IF(D44="","",D44*'Exchange Rate'!$E$5)</f>
        <v/>
      </c>
      <c r="F44" s="32"/>
      <c r="G44" s="33" t="str">
        <f aca="false">IF(F44="","",F44*'Exchange Rate'!$B$5)</f>
        <v/>
      </c>
      <c r="H44" s="33" t="n">
        <f aca="false">IF(L44="Inactive",0,IF(ISNUMBER(G44)*ISNUMBER(D44),IF(G44&gt;D44,G44-D44,0),0))</f>
        <v>0</v>
      </c>
      <c r="I44" s="31" t="n">
        <f aca="false">IF(L44="Inactive",0,IF(ISNUMBER(F44)*ISNUMBER(E44),IF(F44&gt;E44,F44-E44,0),0))</f>
        <v>0</v>
      </c>
      <c r="J44" s="33" t="n">
        <f aca="false">IF(L44="Inactive",0,IF(ISNUMBER(D44)*ISNUMBER(G44),IF(D44&gt;G44,D44-G44,0),0))</f>
        <v>0</v>
      </c>
      <c r="K44" s="31" t="n">
        <f aca="false">IF(L44="Inactive",0,IF(ISNUMBER(E44)*ISNUMBER(F44),IF(E44&gt;F44,E44-F44,0),0))</f>
        <v>0</v>
      </c>
      <c r="L44" s="34" t="s">
        <v>31</v>
      </c>
      <c r="M44" s="44"/>
      <c r="N44" s="44"/>
      <c r="O44" s="89"/>
      <c r="P44" s="90" t="n">
        <f aca="true">IFERROR(COUNTIFS('2. Mercari and Online store'!$A$8:$A$107,A44,'2. Mercari and Online store'!$B$8:$B$107,"&gt;="&amp;(TODAY()-28))/4,0)</f>
        <v>0</v>
      </c>
      <c r="Q44" s="91" t="str">
        <f aca="false">IFERROR(IF(P44=0,"∞",O44/P44),"—")</f>
        <v>∞</v>
      </c>
      <c r="R44" s="29" t="str">
        <f aca="true">IFERROR(IF(OR(P44=0,O44=""),"N/A",TEXT(TODAY()+(IFERROR(O44/P44,0)*7),"DD-MMM-YYYY")),"—")</f>
        <v>N/A</v>
      </c>
      <c r="S44" s="35" t="str">
        <f aca="false">IF(A44="","—",A44&amp;" ("&amp;TEXT(B44,"MM/DD/YYYY")&amp;")")</f>
        <v>—</v>
      </c>
    </row>
    <row r="45" customFormat="false" ht="19.5" hidden="false" customHeight="true" outlineLevel="0" collapsed="false">
      <c r="A45" s="27"/>
      <c r="B45" s="28"/>
      <c r="C45" s="36" t="str">
        <f aca="false">IF(B45="","",TEXT(B45,"mmmm"))</f>
        <v/>
      </c>
      <c r="D45" s="30"/>
      <c r="E45" s="37" t="str">
        <f aca="false">IF(D45="","",D45*'Exchange Rate'!$E$5)</f>
        <v/>
      </c>
      <c r="F45" s="32"/>
      <c r="G45" s="38" t="str">
        <f aca="false">IF(F45="","",F45*'Exchange Rate'!$B$5)</f>
        <v/>
      </c>
      <c r="H45" s="38" t="n">
        <f aca="false">IF(L45="Inactive",0,IF(ISNUMBER(G45)*ISNUMBER(D45),IF(G45&gt;D45,G45-D45,0),0))</f>
        <v>0</v>
      </c>
      <c r="I45" s="37" t="n">
        <f aca="false">IF(L45="Inactive",0,IF(ISNUMBER(F45)*ISNUMBER(E45),IF(F45&gt;E45,F45-E45,0),0))</f>
        <v>0</v>
      </c>
      <c r="J45" s="38" t="n">
        <f aca="false">IF(L45="Inactive",0,IF(ISNUMBER(D45)*ISNUMBER(G45),IF(D45&gt;G45,D45-G45,0),0))</f>
        <v>0</v>
      </c>
      <c r="K45" s="37" t="n">
        <f aca="false">IF(L45="Inactive",0,IF(ISNUMBER(E45)*ISNUMBER(F45),IF(E45&gt;F45,E45-F45,0),0))</f>
        <v>0</v>
      </c>
      <c r="L45" s="34" t="s">
        <v>31</v>
      </c>
      <c r="M45" s="44"/>
      <c r="N45" s="44"/>
      <c r="O45" s="89"/>
      <c r="P45" s="92" t="n">
        <f aca="true">IFERROR(COUNTIFS('2. Mercari and Online store'!$A$8:$A$107,A45,'2. Mercari and Online store'!$B$8:$B$107,"&gt;="&amp;(TODAY()-28))/4,0)</f>
        <v>0</v>
      </c>
      <c r="Q45" s="93" t="str">
        <f aca="false">IFERROR(IF(P45=0,"∞",O45/P45),"—")</f>
        <v>∞</v>
      </c>
      <c r="R45" s="36" t="str">
        <f aca="true">IFERROR(IF(OR(P45=0,O45=""),"N/A",TEXT(TODAY()+(IFERROR(O45/P45,0)*7),"DD-MMM-YYYY")),"—")</f>
        <v>N/A</v>
      </c>
      <c r="S45" s="35" t="str">
        <f aca="false">IF(A45="","—",A45&amp;" ("&amp;TEXT(B45,"MM/DD/YYYY")&amp;")")</f>
        <v>—</v>
      </c>
    </row>
    <row r="46" customFormat="false" ht="19.5" hidden="false" customHeight="true" outlineLevel="0" collapsed="false">
      <c r="A46" s="27"/>
      <c r="B46" s="28"/>
      <c r="C46" s="29" t="str">
        <f aca="false">IF(B46="","",TEXT(B46,"mmmm"))</f>
        <v/>
      </c>
      <c r="D46" s="30"/>
      <c r="E46" s="31" t="str">
        <f aca="false">IF(D46="","",D46*'Exchange Rate'!$E$5)</f>
        <v/>
      </c>
      <c r="F46" s="32"/>
      <c r="G46" s="33" t="str">
        <f aca="false">IF(F46="","",F46*'Exchange Rate'!$B$5)</f>
        <v/>
      </c>
      <c r="H46" s="33" t="n">
        <f aca="false">IF(L46="Inactive",0,IF(ISNUMBER(G46)*ISNUMBER(D46),IF(G46&gt;D46,G46-D46,0),0))</f>
        <v>0</v>
      </c>
      <c r="I46" s="31" t="n">
        <f aca="false">IF(L46="Inactive",0,IF(ISNUMBER(F46)*ISNUMBER(E46),IF(F46&gt;E46,F46-E46,0),0))</f>
        <v>0</v>
      </c>
      <c r="J46" s="33" t="n">
        <f aca="false">IF(L46="Inactive",0,IF(ISNUMBER(D46)*ISNUMBER(G46),IF(D46&gt;G46,D46-G46,0),0))</f>
        <v>0</v>
      </c>
      <c r="K46" s="31" t="n">
        <f aca="false">IF(L46="Inactive",0,IF(ISNUMBER(E46)*ISNUMBER(F46),IF(E46&gt;F46,E46-F46,0),0))</f>
        <v>0</v>
      </c>
      <c r="L46" s="34" t="s">
        <v>31</v>
      </c>
      <c r="M46" s="44"/>
      <c r="N46" s="44"/>
      <c r="O46" s="89"/>
      <c r="P46" s="90" t="n">
        <f aca="true">IFERROR(COUNTIFS('2. Mercari and Online store'!$A$8:$A$107,A46,'2. Mercari and Online store'!$B$8:$B$107,"&gt;="&amp;(TODAY()-28))/4,0)</f>
        <v>0</v>
      </c>
      <c r="Q46" s="91" t="str">
        <f aca="false">IFERROR(IF(P46=0,"∞",O46/P46),"—")</f>
        <v>∞</v>
      </c>
      <c r="R46" s="29" t="str">
        <f aca="true">IFERROR(IF(OR(P46=0,O46=""),"N/A",TEXT(TODAY()+(IFERROR(O46/P46,0)*7),"DD-MMM-YYYY")),"—")</f>
        <v>N/A</v>
      </c>
      <c r="S46" s="35" t="str">
        <f aca="false">IF(A46="","—",A46&amp;" ("&amp;TEXT(B46,"MM/DD/YYYY")&amp;")")</f>
        <v>—</v>
      </c>
    </row>
    <row r="47" customFormat="false" ht="19.5" hidden="false" customHeight="true" outlineLevel="0" collapsed="false">
      <c r="A47" s="27"/>
      <c r="B47" s="28"/>
      <c r="C47" s="36" t="str">
        <f aca="false">IF(B47="","",TEXT(B47,"mmmm"))</f>
        <v/>
      </c>
      <c r="D47" s="30"/>
      <c r="E47" s="37" t="str">
        <f aca="false">IF(D47="","",D47*'Exchange Rate'!$E$5)</f>
        <v/>
      </c>
      <c r="F47" s="32"/>
      <c r="G47" s="38" t="str">
        <f aca="false">IF(F47="","",F47*'Exchange Rate'!$B$5)</f>
        <v/>
      </c>
      <c r="H47" s="38" t="n">
        <f aca="false">IF(L47="Inactive",0,IF(ISNUMBER(G47)*ISNUMBER(D47),IF(G47&gt;D47,G47-D47,0),0))</f>
        <v>0</v>
      </c>
      <c r="I47" s="37" t="n">
        <f aca="false">IF(L47="Inactive",0,IF(ISNUMBER(F47)*ISNUMBER(E47),IF(F47&gt;E47,F47-E47,0),0))</f>
        <v>0</v>
      </c>
      <c r="J47" s="38" t="n">
        <f aca="false">IF(L47="Inactive",0,IF(ISNUMBER(D47)*ISNUMBER(G47),IF(D47&gt;G47,D47-G47,0),0))</f>
        <v>0</v>
      </c>
      <c r="K47" s="37" t="n">
        <f aca="false">IF(L47="Inactive",0,IF(ISNUMBER(E47)*ISNUMBER(F47),IF(E47&gt;F47,E47-F47,0),0))</f>
        <v>0</v>
      </c>
      <c r="L47" s="34" t="s">
        <v>31</v>
      </c>
      <c r="M47" s="44"/>
      <c r="N47" s="44"/>
      <c r="O47" s="89"/>
      <c r="P47" s="92" t="n">
        <f aca="true">IFERROR(COUNTIFS('2. Mercari and Online store'!$A$8:$A$107,A47,'2. Mercari and Online store'!$B$8:$B$107,"&gt;="&amp;(TODAY()-28))/4,0)</f>
        <v>0</v>
      </c>
      <c r="Q47" s="93" t="str">
        <f aca="false">IFERROR(IF(P47=0,"∞",O47/P47),"—")</f>
        <v>∞</v>
      </c>
      <c r="R47" s="36" t="str">
        <f aca="true">IFERROR(IF(OR(P47=0,O47=""),"N/A",TEXT(TODAY()+(IFERROR(O47/P47,0)*7),"DD-MMM-YYYY")),"—")</f>
        <v>N/A</v>
      </c>
      <c r="S47" s="35" t="str">
        <f aca="false">IF(A47="","—",A47&amp;" ("&amp;TEXT(B47,"MM/DD/YYYY")&amp;")")</f>
        <v>—</v>
      </c>
    </row>
    <row r="48" customFormat="false" ht="19.5" hidden="false" customHeight="true" outlineLevel="0" collapsed="false">
      <c r="A48" s="27"/>
      <c r="B48" s="28"/>
      <c r="C48" s="29" t="str">
        <f aca="false">IF(B48="","",TEXT(B48,"mmmm"))</f>
        <v/>
      </c>
      <c r="D48" s="30"/>
      <c r="E48" s="31" t="str">
        <f aca="false">IF(D48="","",D48*'Exchange Rate'!$E$5)</f>
        <v/>
      </c>
      <c r="F48" s="32"/>
      <c r="G48" s="33" t="str">
        <f aca="false">IF(F48="","",F48*'Exchange Rate'!$B$5)</f>
        <v/>
      </c>
      <c r="H48" s="33" t="n">
        <f aca="false">IF(L48="Inactive",0,IF(ISNUMBER(G48)*ISNUMBER(D48),IF(G48&gt;D48,G48-D48,0),0))</f>
        <v>0</v>
      </c>
      <c r="I48" s="31" t="n">
        <f aca="false">IF(L48="Inactive",0,IF(ISNUMBER(F48)*ISNUMBER(E48),IF(F48&gt;E48,F48-E48,0),0))</f>
        <v>0</v>
      </c>
      <c r="J48" s="33" t="n">
        <f aca="false">IF(L48="Inactive",0,IF(ISNUMBER(D48)*ISNUMBER(G48),IF(D48&gt;G48,D48-G48,0),0))</f>
        <v>0</v>
      </c>
      <c r="K48" s="31" t="n">
        <f aca="false">IF(L48="Inactive",0,IF(ISNUMBER(E48)*ISNUMBER(F48),IF(E48&gt;F48,E48-F48,0),0))</f>
        <v>0</v>
      </c>
      <c r="L48" s="34" t="s">
        <v>31</v>
      </c>
      <c r="M48" s="44"/>
      <c r="N48" s="44"/>
      <c r="O48" s="89"/>
      <c r="P48" s="90" t="n">
        <f aca="true">IFERROR(COUNTIFS('2. Mercari and Online store'!$A$8:$A$107,A48,'2. Mercari and Online store'!$B$8:$B$107,"&gt;="&amp;(TODAY()-28))/4,0)</f>
        <v>0</v>
      </c>
      <c r="Q48" s="91" t="str">
        <f aca="false">IFERROR(IF(P48=0,"∞",O48/P48),"—")</f>
        <v>∞</v>
      </c>
      <c r="R48" s="29" t="str">
        <f aca="true">IFERROR(IF(OR(P48=0,O48=""),"N/A",TEXT(TODAY()+(IFERROR(O48/P48,0)*7),"DD-MMM-YYYY")),"—")</f>
        <v>N/A</v>
      </c>
      <c r="S48" s="35" t="str">
        <f aca="false">IF(A48="","—",A48&amp;" ("&amp;TEXT(B48,"MM/DD/YYYY")&amp;")")</f>
        <v>—</v>
      </c>
    </row>
    <row r="49" customFormat="false" ht="19.5" hidden="false" customHeight="true" outlineLevel="0" collapsed="false">
      <c r="A49" s="27"/>
      <c r="B49" s="28"/>
      <c r="C49" s="36" t="str">
        <f aca="false">IF(B49="","",TEXT(B49,"mmmm"))</f>
        <v/>
      </c>
      <c r="D49" s="30"/>
      <c r="E49" s="37" t="str">
        <f aca="false">IF(D49="","",D49*'Exchange Rate'!$E$5)</f>
        <v/>
      </c>
      <c r="F49" s="32"/>
      <c r="G49" s="38" t="str">
        <f aca="false">IF(F49="","",F49*'Exchange Rate'!$B$5)</f>
        <v/>
      </c>
      <c r="H49" s="38" t="n">
        <f aca="false">IF(L49="Inactive",0,IF(ISNUMBER(G49)*ISNUMBER(D49),IF(G49&gt;D49,G49-D49,0),0))</f>
        <v>0</v>
      </c>
      <c r="I49" s="37" t="n">
        <f aca="false">IF(L49="Inactive",0,IF(ISNUMBER(F49)*ISNUMBER(E49),IF(F49&gt;E49,F49-E49,0),0))</f>
        <v>0</v>
      </c>
      <c r="J49" s="38" t="n">
        <f aca="false">IF(L49="Inactive",0,IF(ISNUMBER(D49)*ISNUMBER(G49),IF(D49&gt;G49,D49-G49,0),0))</f>
        <v>0</v>
      </c>
      <c r="K49" s="37" t="n">
        <f aca="false">IF(L49="Inactive",0,IF(ISNUMBER(E49)*ISNUMBER(F49),IF(E49&gt;F49,E49-F49,0),0))</f>
        <v>0</v>
      </c>
      <c r="L49" s="34" t="s">
        <v>31</v>
      </c>
      <c r="M49" s="44"/>
      <c r="N49" s="44"/>
      <c r="O49" s="89"/>
      <c r="P49" s="92" t="n">
        <f aca="true">IFERROR(COUNTIFS('2. Mercari and Online store'!$A$8:$A$107,A49,'2. Mercari and Online store'!$B$8:$B$107,"&gt;="&amp;(TODAY()-28))/4,0)</f>
        <v>0</v>
      </c>
      <c r="Q49" s="93" t="str">
        <f aca="false">IFERROR(IF(P49=0,"∞",O49/P49),"—")</f>
        <v>∞</v>
      </c>
      <c r="R49" s="36" t="str">
        <f aca="true">IFERROR(IF(OR(P49=0,O49=""),"N/A",TEXT(TODAY()+(IFERROR(O49/P49,0)*7),"DD-MMM-YYYY")),"—")</f>
        <v>N/A</v>
      </c>
      <c r="S49" s="35" t="str">
        <f aca="false">IF(A49="","—",A49&amp;" ("&amp;TEXT(B49,"MM/DD/YYYY")&amp;")")</f>
        <v>—</v>
      </c>
    </row>
    <row r="50" customFormat="false" ht="19.5" hidden="false" customHeight="true" outlineLevel="0" collapsed="false">
      <c r="A50" s="27"/>
      <c r="B50" s="28"/>
      <c r="C50" s="29" t="str">
        <f aca="false">IF(B50="","",TEXT(B50,"mmmm"))</f>
        <v/>
      </c>
      <c r="D50" s="30"/>
      <c r="E50" s="31" t="str">
        <f aca="false">IF(D50="","",D50*'Exchange Rate'!$E$5)</f>
        <v/>
      </c>
      <c r="F50" s="32"/>
      <c r="G50" s="33" t="str">
        <f aca="false">IF(F50="","",F50*'Exchange Rate'!$B$5)</f>
        <v/>
      </c>
      <c r="H50" s="33" t="n">
        <f aca="false">IF(L50="Inactive",0,IF(ISNUMBER(G50)*ISNUMBER(D50),IF(G50&gt;D50,G50-D50,0),0))</f>
        <v>0</v>
      </c>
      <c r="I50" s="31" t="n">
        <f aca="false">IF(L50="Inactive",0,IF(ISNUMBER(F50)*ISNUMBER(E50),IF(F50&gt;E50,F50-E50,0),0))</f>
        <v>0</v>
      </c>
      <c r="J50" s="33" t="n">
        <f aca="false">IF(L50="Inactive",0,IF(ISNUMBER(D50)*ISNUMBER(G50),IF(D50&gt;G50,D50-G50,0),0))</f>
        <v>0</v>
      </c>
      <c r="K50" s="31" t="n">
        <f aca="false">IF(L50="Inactive",0,IF(ISNUMBER(E50)*ISNUMBER(F50),IF(E50&gt;F50,E50-F50,0),0))</f>
        <v>0</v>
      </c>
      <c r="L50" s="34" t="s">
        <v>31</v>
      </c>
      <c r="M50" s="44"/>
      <c r="N50" s="44"/>
      <c r="O50" s="89"/>
      <c r="P50" s="90" t="n">
        <f aca="true">IFERROR(COUNTIFS('2. Mercari and Online store'!$A$8:$A$107,A50,'2. Mercari and Online store'!$B$8:$B$107,"&gt;="&amp;(TODAY()-28))/4,0)</f>
        <v>0</v>
      </c>
      <c r="Q50" s="91" t="str">
        <f aca="false">IFERROR(IF(P50=0,"∞",O50/P50),"—")</f>
        <v>∞</v>
      </c>
      <c r="R50" s="29" t="str">
        <f aca="true">IFERROR(IF(OR(P50=0,O50=""),"N/A",TEXT(TODAY()+(IFERROR(O50/P50,0)*7),"DD-MMM-YYYY")),"—")</f>
        <v>N/A</v>
      </c>
      <c r="S50" s="35" t="str">
        <f aca="false">IF(A50="","—",A50&amp;" ("&amp;TEXT(B50,"MM/DD/YYYY")&amp;")")</f>
        <v>—</v>
      </c>
    </row>
    <row r="51" customFormat="false" ht="19.5" hidden="false" customHeight="true" outlineLevel="0" collapsed="false">
      <c r="A51" s="27"/>
      <c r="B51" s="28"/>
      <c r="C51" s="36" t="str">
        <f aca="false">IF(B51="","",TEXT(B51,"mmmm"))</f>
        <v/>
      </c>
      <c r="D51" s="30"/>
      <c r="E51" s="37" t="str">
        <f aca="false">IF(D51="","",D51*'Exchange Rate'!$E$5)</f>
        <v/>
      </c>
      <c r="F51" s="32"/>
      <c r="G51" s="38" t="str">
        <f aca="false">IF(F51="","",F51*'Exchange Rate'!$B$5)</f>
        <v/>
      </c>
      <c r="H51" s="38" t="n">
        <f aca="false">IF(L51="Inactive",0,IF(ISNUMBER(G51)*ISNUMBER(D51),IF(G51&gt;D51,G51-D51,0),0))</f>
        <v>0</v>
      </c>
      <c r="I51" s="37" t="n">
        <f aca="false">IF(L51="Inactive",0,IF(ISNUMBER(F51)*ISNUMBER(E51),IF(F51&gt;E51,F51-E51,0),0))</f>
        <v>0</v>
      </c>
      <c r="J51" s="38" t="n">
        <f aca="false">IF(L51="Inactive",0,IF(ISNUMBER(D51)*ISNUMBER(G51),IF(D51&gt;G51,D51-G51,0),0))</f>
        <v>0</v>
      </c>
      <c r="K51" s="37" t="n">
        <f aca="false">IF(L51="Inactive",0,IF(ISNUMBER(E51)*ISNUMBER(F51),IF(E51&gt;F51,E51-F51,0),0))</f>
        <v>0</v>
      </c>
      <c r="L51" s="34" t="s">
        <v>31</v>
      </c>
      <c r="M51" s="44"/>
      <c r="N51" s="44"/>
      <c r="O51" s="89"/>
      <c r="P51" s="92" t="n">
        <f aca="true">IFERROR(COUNTIFS('2. Mercari and Online store'!$A$8:$A$107,A51,'2. Mercari and Online store'!$B$8:$B$107,"&gt;="&amp;(TODAY()-28))/4,0)</f>
        <v>0</v>
      </c>
      <c r="Q51" s="93" t="str">
        <f aca="false">IFERROR(IF(P51=0,"∞",O51/P51),"—")</f>
        <v>∞</v>
      </c>
      <c r="R51" s="36" t="str">
        <f aca="true">IFERROR(IF(OR(P51=0,O51=""),"N/A",TEXT(TODAY()+(IFERROR(O51/P51,0)*7),"DD-MMM-YYYY")),"—")</f>
        <v>N/A</v>
      </c>
      <c r="S51" s="35" t="str">
        <f aca="false">IF(A51="","—",A51&amp;" ("&amp;TEXT(B51,"MM/DD/YYYY")&amp;")")</f>
        <v>—</v>
      </c>
    </row>
    <row r="52" customFormat="false" ht="19.5" hidden="false" customHeight="true" outlineLevel="0" collapsed="false">
      <c r="A52" s="27"/>
      <c r="B52" s="28"/>
      <c r="C52" s="29" t="str">
        <f aca="false">IF(B52="","",TEXT(B52,"mmmm"))</f>
        <v/>
      </c>
      <c r="D52" s="30"/>
      <c r="E52" s="31" t="str">
        <f aca="false">IF(D52="","",D52*'Exchange Rate'!$E$5)</f>
        <v/>
      </c>
      <c r="F52" s="32"/>
      <c r="G52" s="33" t="str">
        <f aca="false">IF(F52="","",F52*'Exchange Rate'!$B$5)</f>
        <v/>
      </c>
      <c r="H52" s="33" t="n">
        <f aca="false">IF(L52="Inactive",0,IF(ISNUMBER(G52)*ISNUMBER(D52),IF(G52&gt;D52,G52-D52,0),0))</f>
        <v>0</v>
      </c>
      <c r="I52" s="31" t="n">
        <f aca="false">IF(L52="Inactive",0,IF(ISNUMBER(F52)*ISNUMBER(E52),IF(F52&gt;E52,F52-E52,0),0))</f>
        <v>0</v>
      </c>
      <c r="J52" s="33" t="n">
        <f aca="false">IF(L52="Inactive",0,IF(ISNUMBER(D52)*ISNUMBER(G52),IF(D52&gt;G52,D52-G52,0),0))</f>
        <v>0</v>
      </c>
      <c r="K52" s="31" t="n">
        <f aca="false">IF(L52="Inactive",0,IF(ISNUMBER(E52)*ISNUMBER(F52),IF(E52&gt;F52,E52-F52,0),0))</f>
        <v>0</v>
      </c>
      <c r="L52" s="34" t="s">
        <v>31</v>
      </c>
      <c r="M52" s="44"/>
      <c r="N52" s="44"/>
      <c r="O52" s="89"/>
      <c r="P52" s="90" t="n">
        <f aca="true">IFERROR(COUNTIFS('2. Mercari and Online store'!$A$8:$A$107,A52,'2. Mercari and Online store'!$B$8:$B$107,"&gt;="&amp;(TODAY()-28))/4,0)</f>
        <v>0</v>
      </c>
      <c r="Q52" s="91" t="str">
        <f aca="false">IFERROR(IF(P52=0,"∞",O52/P52),"—")</f>
        <v>∞</v>
      </c>
      <c r="R52" s="29" t="str">
        <f aca="true">IFERROR(IF(OR(P52=0,O52=""),"N/A",TEXT(TODAY()+(IFERROR(O52/P52,0)*7),"DD-MMM-YYYY")),"—")</f>
        <v>N/A</v>
      </c>
      <c r="S52" s="35" t="str">
        <f aca="false">IF(A52="","—",A52&amp;" ("&amp;TEXT(B52,"MM/DD/YYYY")&amp;")")</f>
        <v>—</v>
      </c>
    </row>
    <row r="53" customFormat="false" ht="19.5" hidden="false" customHeight="true" outlineLevel="0" collapsed="false">
      <c r="A53" s="27"/>
      <c r="B53" s="28"/>
      <c r="C53" s="36" t="str">
        <f aca="false">IF(B53="","",TEXT(B53,"mmmm"))</f>
        <v/>
      </c>
      <c r="D53" s="30"/>
      <c r="E53" s="37" t="str">
        <f aca="false">IF(D53="","",D53*'Exchange Rate'!$E$5)</f>
        <v/>
      </c>
      <c r="F53" s="32"/>
      <c r="G53" s="38" t="str">
        <f aca="false">IF(F53="","",F53*'Exchange Rate'!$B$5)</f>
        <v/>
      </c>
      <c r="H53" s="38" t="n">
        <f aca="false">IF(L53="Inactive",0,IF(ISNUMBER(G53)*ISNUMBER(D53),IF(G53&gt;D53,G53-D53,0),0))</f>
        <v>0</v>
      </c>
      <c r="I53" s="37" t="n">
        <f aca="false">IF(L53="Inactive",0,IF(ISNUMBER(F53)*ISNUMBER(E53),IF(F53&gt;E53,F53-E53,0),0))</f>
        <v>0</v>
      </c>
      <c r="J53" s="38" t="n">
        <f aca="false">IF(L53="Inactive",0,IF(ISNUMBER(D53)*ISNUMBER(G53),IF(D53&gt;G53,D53-G53,0),0))</f>
        <v>0</v>
      </c>
      <c r="K53" s="37" t="n">
        <f aca="false">IF(L53="Inactive",0,IF(ISNUMBER(E53)*ISNUMBER(F53),IF(E53&gt;F53,E53-F53,0),0))</f>
        <v>0</v>
      </c>
      <c r="L53" s="34" t="s">
        <v>31</v>
      </c>
      <c r="M53" s="44"/>
      <c r="N53" s="44"/>
      <c r="O53" s="89"/>
      <c r="P53" s="92" t="n">
        <f aca="true">IFERROR(COUNTIFS('2. Mercari and Online store'!$A$8:$A$107,A53,'2. Mercari and Online store'!$B$8:$B$107,"&gt;="&amp;(TODAY()-28))/4,0)</f>
        <v>0</v>
      </c>
      <c r="Q53" s="93" t="str">
        <f aca="false">IFERROR(IF(P53=0,"∞",O53/P53),"—")</f>
        <v>∞</v>
      </c>
      <c r="R53" s="36" t="str">
        <f aca="true">IFERROR(IF(OR(P53=0,O53=""),"N/A",TEXT(TODAY()+(IFERROR(O53/P53,0)*7),"DD-MMM-YYYY")),"—")</f>
        <v>N/A</v>
      </c>
      <c r="S53" s="35" t="str">
        <f aca="false">IF(A53="","—",A53&amp;" ("&amp;TEXT(B53,"MM/DD/YYYY")&amp;")")</f>
        <v>—</v>
      </c>
    </row>
    <row r="54" customFormat="false" ht="19.5" hidden="false" customHeight="true" outlineLevel="0" collapsed="false">
      <c r="A54" s="27"/>
      <c r="B54" s="28"/>
      <c r="C54" s="29" t="str">
        <f aca="false">IF(B54="","",TEXT(B54,"mmmm"))</f>
        <v/>
      </c>
      <c r="D54" s="30"/>
      <c r="E54" s="31" t="str">
        <f aca="false">IF(D54="","",D54*'Exchange Rate'!$E$5)</f>
        <v/>
      </c>
      <c r="F54" s="32"/>
      <c r="G54" s="33" t="str">
        <f aca="false">IF(F54="","",F54*'Exchange Rate'!$B$5)</f>
        <v/>
      </c>
      <c r="H54" s="33" t="n">
        <f aca="false">IF(L54="Inactive",0,IF(ISNUMBER(G54)*ISNUMBER(D54),IF(G54&gt;D54,G54-D54,0),0))</f>
        <v>0</v>
      </c>
      <c r="I54" s="31" t="n">
        <f aca="false">IF(L54="Inactive",0,IF(ISNUMBER(F54)*ISNUMBER(E54),IF(F54&gt;E54,F54-E54,0),0))</f>
        <v>0</v>
      </c>
      <c r="J54" s="33" t="n">
        <f aca="false">IF(L54="Inactive",0,IF(ISNUMBER(D54)*ISNUMBER(G54),IF(D54&gt;G54,D54-G54,0),0))</f>
        <v>0</v>
      </c>
      <c r="K54" s="31" t="n">
        <f aca="false">IF(L54="Inactive",0,IF(ISNUMBER(E54)*ISNUMBER(F54),IF(E54&gt;F54,E54-F54,0),0))</f>
        <v>0</v>
      </c>
      <c r="L54" s="34" t="s">
        <v>31</v>
      </c>
      <c r="M54" s="44"/>
      <c r="N54" s="44"/>
      <c r="O54" s="89"/>
      <c r="P54" s="90" t="n">
        <f aca="true">IFERROR(COUNTIFS('2. Mercari and Online store'!$A$8:$A$107,A54,'2. Mercari and Online store'!$B$8:$B$107,"&gt;="&amp;(TODAY()-28))/4,0)</f>
        <v>0</v>
      </c>
      <c r="Q54" s="91" t="str">
        <f aca="false">IFERROR(IF(P54=0,"∞",O54/P54),"—")</f>
        <v>∞</v>
      </c>
      <c r="R54" s="29" t="str">
        <f aca="true">IFERROR(IF(OR(P54=0,O54=""),"N/A",TEXT(TODAY()+(IFERROR(O54/P54,0)*7),"DD-MMM-YYYY")),"—")</f>
        <v>N/A</v>
      </c>
      <c r="S54" s="35" t="str">
        <f aca="false">IF(A54="","—",A54&amp;" ("&amp;TEXT(B54,"MM/DD/YYYY")&amp;")")</f>
        <v>—</v>
      </c>
    </row>
    <row r="55" customFormat="false" ht="19.5" hidden="false" customHeight="true" outlineLevel="0" collapsed="false">
      <c r="A55" s="27"/>
      <c r="B55" s="28"/>
      <c r="C55" s="36" t="str">
        <f aca="false">IF(B55="","",TEXT(B55,"mmmm"))</f>
        <v/>
      </c>
      <c r="D55" s="30"/>
      <c r="E55" s="37" t="str">
        <f aca="false">IF(D55="","",D55*'Exchange Rate'!$E$5)</f>
        <v/>
      </c>
      <c r="F55" s="32"/>
      <c r="G55" s="38" t="str">
        <f aca="false">IF(F55="","",F55*'Exchange Rate'!$B$5)</f>
        <v/>
      </c>
      <c r="H55" s="38" t="n">
        <f aca="false">IF(L55="Inactive",0,IF(ISNUMBER(G55)*ISNUMBER(D55),IF(G55&gt;D55,G55-D55,0),0))</f>
        <v>0</v>
      </c>
      <c r="I55" s="37" t="n">
        <f aca="false">IF(L55="Inactive",0,IF(ISNUMBER(F55)*ISNUMBER(E55),IF(F55&gt;E55,F55-E55,0),0))</f>
        <v>0</v>
      </c>
      <c r="J55" s="38" t="n">
        <f aca="false">IF(L55="Inactive",0,IF(ISNUMBER(D55)*ISNUMBER(G55),IF(D55&gt;G55,D55-G55,0),0))</f>
        <v>0</v>
      </c>
      <c r="K55" s="37" t="n">
        <f aca="false">IF(L55="Inactive",0,IF(ISNUMBER(E55)*ISNUMBER(F55),IF(E55&gt;F55,E55-F55,0),0))</f>
        <v>0</v>
      </c>
      <c r="L55" s="34" t="s">
        <v>31</v>
      </c>
      <c r="M55" s="44"/>
      <c r="N55" s="44"/>
      <c r="O55" s="89"/>
      <c r="P55" s="92" t="n">
        <f aca="true">IFERROR(COUNTIFS('2. Mercari and Online store'!$A$8:$A$107,A55,'2. Mercari and Online store'!$B$8:$B$107,"&gt;="&amp;(TODAY()-28))/4,0)</f>
        <v>0</v>
      </c>
      <c r="Q55" s="93" t="str">
        <f aca="false">IFERROR(IF(P55=0,"∞",O55/P55),"—")</f>
        <v>∞</v>
      </c>
      <c r="R55" s="36" t="str">
        <f aca="true">IFERROR(IF(OR(P55=0,O55=""),"N/A",TEXT(TODAY()+(IFERROR(O55/P55,0)*7),"DD-MMM-YYYY")),"—")</f>
        <v>N/A</v>
      </c>
      <c r="S55" s="35" t="str">
        <f aca="false">IF(A55="","—",A55&amp;" ("&amp;TEXT(B55,"MM/DD/YYYY")&amp;")")</f>
        <v>—</v>
      </c>
    </row>
    <row r="56" customFormat="false" ht="19.5" hidden="false" customHeight="true" outlineLevel="0" collapsed="false">
      <c r="A56" s="27"/>
      <c r="B56" s="28"/>
      <c r="C56" s="29" t="str">
        <f aca="false">IF(B56="","",TEXT(B56,"mmmm"))</f>
        <v/>
      </c>
      <c r="D56" s="30"/>
      <c r="E56" s="31" t="str">
        <f aca="false">IF(D56="","",D56*'Exchange Rate'!$E$5)</f>
        <v/>
      </c>
      <c r="F56" s="32"/>
      <c r="G56" s="33" t="str">
        <f aca="false">IF(F56="","",F56*'Exchange Rate'!$B$5)</f>
        <v/>
      </c>
      <c r="H56" s="33" t="n">
        <f aca="false">IF(L56="Inactive",0,IF(ISNUMBER(G56)*ISNUMBER(D56),IF(G56&gt;D56,G56-D56,0),0))</f>
        <v>0</v>
      </c>
      <c r="I56" s="31" t="n">
        <f aca="false">IF(L56="Inactive",0,IF(ISNUMBER(F56)*ISNUMBER(E56),IF(F56&gt;E56,F56-E56,0),0))</f>
        <v>0</v>
      </c>
      <c r="J56" s="33" t="n">
        <f aca="false">IF(L56="Inactive",0,IF(ISNUMBER(D56)*ISNUMBER(G56),IF(D56&gt;G56,D56-G56,0),0))</f>
        <v>0</v>
      </c>
      <c r="K56" s="31" t="n">
        <f aca="false">IF(L56="Inactive",0,IF(ISNUMBER(E56)*ISNUMBER(F56),IF(E56&gt;F56,E56-F56,0),0))</f>
        <v>0</v>
      </c>
      <c r="L56" s="34" t="s">
        <v>31</v>
      </c>
      <c r="M56" s="44"/>
      <c r="N56" s="44"/>
      <c r="O56" s="89"/>
      <c r="P56" s="90" t="n">
        <f aca="true">IFERROR(COUNTIFS('2. Mercari and Online store'!$A$8:$A$107,A56,'2. Mercari and Online store'!$B$8:$B$107,"&gt;="&amp;(TODAY()-28))/4,0)</f>
        <v>0</v>
      </c>
      <c r="Q56" s="91" t="str">
        <f aca="false">IFERROR(IF(P56=0,"∞",O56/P56),"—")</f>
        <v>∞</v>
      </c>
      <c r="R56" s="29" t="str">
        <f aca="true">IFERROR(IF(OR(P56=0,O56=""),"N/A",TEXT(TODAY()+(IFERROR(O56/P56,0)*7),"DD-MMM-YYYY")),"—")</f>
        <v>N/A</v>
      </c>
      <c r="S56" s="35" t="str">
        <f aca="false">IF(A56="","—",A56&amp;" ("&amp;TEXT(B56,"MM/DD/YYYY")&amp;")")</f>
        <v>—</v>
      </c>
    </row>
    <row r="57" customFormat="false" ht="19.5" hidden="false" customHeight="true" outlineLevel="0" collapsed="false">
      <c r="A57" s="27"/>
      <c r="B57" s="28"/>
      <c r="C57" s="36" t="str">
        <f aca="false">IF(B57="","",TEXT(B57,"mmmm"))</f>
        <v/>
      </c>
      <c r="D57" s="30"/>
      <c r="E57" s="37" t="str">
        <f aca="false">IF(D57="","",D57*'Exchange Rate'!$E$5)</f>
        <v/>
      </c>
      <c r="F57" s="32"/>
      <c r="G57" s="38" t="str">
        <f aca="false">IF(F57="","",F57*'Exchange Rate'!$B$5)</f>
        <v/>
      </c>
      <c r="H57" s="38" t="n">
        <f aca="false">IF(L57="Inactive",0,IF(ISNUMBER(G57)*ISNUMBER(D57),IF(G57&gt;D57,G57-D57,0),0))</f>
        <v>0</v>
      </c>
      <c r="I57" s="37" t="n">
        <f aca="false">IF(L57="Inactive",0,IF(ISNUMBER(F57)*ISNUMBER(E57),IF(F57&gt;E57,F57-E57,0),0))</f>
        <v>0</v>
      </c>
      <c r="J57" s="38" t="n">
        <f aca="false">IF(L57="Inactive",0,IF(ISNUMBER(D57)*ISNUMBER(G57),IF(D57&gt;G57,D57-G57,0),0))</f>
        <v>0</v>
      </c>
      <c r="K57" s="37" t="n">
        <f aca="false">IF(L57="Inactive",0,IF(ISNUMBER(E57)*ISNUMBER(F57),IF(E57&gt;F57,E57-F57,0),0))</f>
        <v>0</v>
      </c>
      <c r="L57" s="34" t="s">
        <v>31</v>
      </c>
      <c r="M57" s="44"/>
      <c r="N57" s="44"/>
      <c r="O57" s="89"/>
      <c r="P57" s="92" t="n">
        <f aca="true">IFERROR(COUNTIFS('2. Mercari and Online store'!$A$8:$A$107,A57,'2. Mercari and Online store'!$B$8:$B$107,"&gt;="&amp;(TODAY()-28))/4,0)</f>
        <v>0</v>
      </c>
      <c r="Q57" s="93" t="str">
        <f aca="false">IFERROR(IF(P57=0,"∞",O57/P57),"—")</f>
        <v>∞</v>
      </c>
      <c r="R57" s="36" t="str">
        <f aca="true">IFERROR(IF(OR(P57=0,O57=""),"N/A",TEXT(TODAY()+(IFERROR(O57/P57,0)*7),"DD-MMM-YYYY")),"—")</f>
        <v>N/A</v>
      </c>
      <c r="S57" s="35" t="str">
        <f aca="false">IF(A57="","—",A57&amp;" ("&amp;TEXT(B57,"MM/DD/YYYY")&amp;")")</f>
        <v>—</v>
      </c>
    </row>
    <row r="58" customFormat="false" ht="19.5" hidden="false" customHeight="true" outlineLevel="0" collapsed="false">
      <c r="A58" s="27"/>
      <c r="B58" s="28"/>
      <c r="C58" s="29" t="str">
        <f aca="false">IF(B58="","",TEXT(B58,"mmmm"))</f>
        <v/>
      </c>
      <c r="D58" s="30"/>
      <c r="E58" s="31" t="str">
        <f aca="false">IF(D58="","",D58*'Exchange Rate'!$E$5)</f>
        <v/>
      </c>
      <c r="F58" s="32"/>
      <c r="G58" s="33" t="str">
        <f aca="false">IF(F58="","",F58*'Exchange Rate'!$B$5)</f>
        <v/>
      </c>
      <c r="H58" s="33" t="n">
        <f aca="false">IF(L58="Inactive",0,IF(ISNUMBER(G58)*ISNUMBER(D58),IF(G58&gt;D58,G58-D58,0),0))</f>
        <v>0</v>
      </c>
      <c r="I58" s="31" t="n">
        <f aca="false">IF(L58="Inactive",0,IF(ISNUMBER(F58)*ISNUMBER(E58),IF(F58&gt;E58,F58-E58,0),0))</f>
        <v>0</v>
      </c>
      <c r="J58" s="33" t="n">
        <f aca="false">IF(L58="Inactive",0,IF(ISNUMBER(D58)*ISNUMBER(G58),IF(D58&gt;G58,D58-G58,0),0))</f>
        <v>0</v>
      </c>
      <c r="K58" s="31" t="n">
        <f aca="false">IF(L58="Inactive",0,IF(ISNUMBER(E58)*ISNUMBER(F58),IF(E58&gt;F58,E58-F58,0),0))</f>
        <v>0</v>
      </c>
      <c r="L58" s="34" t="s">
        <v>31</v>
      </c>
      <c r="M58" s="44"/>
      <c r="N58" s="44"/>
      <c r="O58" s="89"/>
      <c r="P58" s="90" t="n">
        <f aca="true">IFERROR(COUNTIFS('2. Mercari and Online store'!$A$8:$A$107,A58,'2. Mercari and Online store'!$B$8:$B$107,"&gt;="&amp;(TODAY()-28))/4,0)</f>
        <v>0</v>
      </c>
      <c r="Q58" s="91" t="str">
        <f aca="false">IFERROR(IF(P58=0,"∞",O58/P58),"—")</f>
        <v>∞</v>
      </c>
      <c r="R58" s="29" t="str">
        <f aca="true">IFERROR(IF(OR(P58=0,O58=""),"N/A",TEXT(TODAY()+(IFERROR(O58/P58,0)*7),"DD-MMM-YYYY")),"—")</f>
        <v>N/A</v>
      </c>
      <c r="S58" s="35" t="str">
        <f aca="false">IF(A58="","—",A58&amp;" ("&amp;TEXT(B58,"MM/DD/YYYY")&amp;")")</f>
        <v>—</v>
      </c>
    </row>
    <row r="59" customFormat="false" ht="19.5" hidden="false" customHeight="true" outlineLevel="0" collapsed="false">
      <c r="A59" s="27"/>
      <c r="B59" s="28"/>
      <c r="C59" s="36" t="str">
        <f aca="false">IF(B59="","",TEXT(B59,"mmmm"))</f>
        <v/>
      </c>
      <c r="D59" s="30"/>
      <c r="E59" s="37" t="str">
        <f aca="false">IF(D59="","",D59*'Exchange Rate'!$E$5)</f>
        <v/>
      </c>
      <c r="F59" s="32"/>
      <c r="G59" s="38" t="str">
        <f aca="false">IF(F59="","",F59*'Exchange Rate'!$B$5)</f>
        <v/>
      </c>
      <c r="H59" s="38" t="n">
        <f aca="false">IF(L59="Inactive",0,IF(ISNUMBER(G59)*ISNUMBER(D59),IF(G59&gt;D59,G59-D59,0),0))</f>
        <v>0</v>
      </c>
      <c r="I59" s="37" t="n">
        <f aca="false">IF(L59="Inactive",0,IF(ISNUMBER(F59)*ISNUMBER(E59),IF(F59&gt;E59,F59-E59,0),0))</f>
        <v>0</v>
      </c>
      <c r="J59" s="38" t="n">
        <f aca="false">IF(L59="Inactive",0,IF(ISNUMBER(D59)*ISNUMBER(G59),IF(D59&gt;G59,D59-G59,0),0))</f>
        <v>0</v>
      </c>
      <c r="K59" s="37" t="n">
        <f aca="false">IF(L59="Inactive",0,IF(ISNUMBER(E59)*ISNUMBER(F59),IF(E59&gt;F59,E59-F59,0),0))</f>
        <v>0</v>
      </c>
      <c r="L59" s="34" t="s">
        <v>31</v>
      </c>
      <c r="M59" s="44"/>
      <c r="N59" s="44"/>
      <c r="O59" s="89"/>
      <c r="P59" s="92" t="n">
        <f aca="true">IFERROR(COUNTIFS('2. Mercari and Online store'!$A$8:$A$107,A59,'2. Mercari and Online store'!$B$8:$B$107,"&gt;="&amp;(TODAY()-28))/4,0)</f>
        <v>0</v>
      </c>
      <c r="Q59" s="93" t="str">
        <f aca="false">IFERROR(IF(P59=0,"∞",O59/P59),"—")</f>
        <v>∞</v>
      </c>
      <c r="R59" s="36" t="str">
        <f aca="true">IFERROR(IF(OR(P59=0,O59=""),"N/A",TEXT(TODAY()+(IFERROR(O59/P59,0)*7),"DD-MMM-YYYY")),"—")</f>
        <v>N/A</v>
      </c>
      <c r="S59" s="35" t="str">
        <f aca="false">IF(A59="","—",A59&amp;" ("&amp;TEXT(B59,"MM/DD/YYYY")&amp;")")</f>
        <v>—</v>
      </c>
    </row>
    <row r="60" customFormat="false" ht="19.5" hidden="false" customHeight="true" outlineLevel="0" collapsed="false">
      <c r="A60" s="27"/>
      <c r="B60" s="28"/>
      <c r="C60" s="29" t="str">
        <f aca="false">IF(B60="","",TEXT(B60,"mmmm"))</f>
        <v/>
      </c>
      <c r="D60" s="30"/>
      <c r="E60" s="31" t="str">
        <f aca="false">IF(D60="","",D60*'Exchange Rate'!$E$5)</f>
        <v/>
      </c>
      <c r="F60" s="32"/>
      <c r="G60" s="33" t="str">
        <f aca="false">IF(F60="","",F60*'Exchange Rate'!$B$5)</f>
        <v/>
      </c>
      <c r="H60" s="33" t="n">
        <f aca="false">IF(L60="Inactive",0,IF(ISNUMBER(G60)*ISNUMBER(D60),IF(G60&gt;D60,G60-D60,0),0))</f>
        <v>0</v>
      </c>
      <c r="I60" s="31" t="n">
        <f aca="false">IF(L60="Inactive",0,IF(ISNUMBER(F60)*ISNUMBER(E60),IF(F60&gt;E60,F60-E60,0),0))</f>
        <v>0</v>
      </c>
      <c r="J60" s="33" t="n">
        <f aca="false">IF(L60="Inactive",0,IF(ISNUMBER(D60)*ISNUMBER(G60),IF(D60&gt;G60,D60-G60,0),0))</f>
        <v>0</v>
      </c>
      <c r="K60" s="31" t="n">
        <f aca="false">IF(L60="Inactive",0,IF(ISNUMBER(E60)*ISNUMBER(F60),IF(E60&gt;F60,E60-F60,0),0))</f>
        <v>0</v>
      </c>
      <c r="L60" s="34" t="s">
        <v>31</v>
      </c>
      <c r="M60" s="44"/>
      <c r="N60" s="44"/>
      <c r="O60" s="89"/>
      <c r="P60" s="90" t="n">
        <f aca="true">IFERROR(COUNTIFS('2. Mercari and Online store'!$A$8:$A$107,A60,'2. Mercari and Online store'!$B$8:$B$107,"&gt;="&amp;(TODAY()-28))/4,0)</f>
        <v>0</v>
      </c>
      <c r="Q60" s="91" t="str">
        <f aca="false">IFERROR(IF(P60=0,"∞",O60/P60),"—")</f>
        <v>∞</v>
      </c>
      <c r="R60" s="29" t="str">
        <f aca="true">IFERROR(IF(OR(P60=0,O60=""),"N/A",TEXT(TODAY()+(IFERROR(O60/P60,0)*7),"DD-MMM-YYYY")),"—")</f>
        <v>N/A</v>
      </c>
      <c r="S60" s="35" t="str">
        <f aca="false">IF(A60="","—",A60&amp;" ("&amp;TEXT(B60,"MM/DD/YYYY")&amp;")")</f>
        <v>—</v>
      </c>
    </row>
    <row r="61" customFormat="false" ht="19.5" hidden="false" customHeight="true" outlineLevel="0" collapsed="false">
      <c r="A61" s="27"/>
      <c r="B61" s="28"/>
      <c r="C61" s="36" t="str">
        <f aca="false">IF(B61="","",TEXT(B61,"mmmm"))</f>
        <v/>
      </c>
      <c r="D61" s="30"/>
      <c r="E61" s="37" t="str">
        <f aca="false">IF(D61="","",D61*'Exchange Rate'!$E$5)</f>
        <v/>
      </c>
      <c r="F61" s="32"/>
      <c r="G61" s="38" t="str">
        <f aca="false">IF(F61="","",F61*'Exchange Rate'!$B$5)</f>
        <v/>
      </c>
      <c r="H61" s="38" t="n">
        <f aca="false">IF(L61="Inactive",0,IF(ISNUMBER(G61)*ISNUMBER(D61),IF(G61&gt;D61,G61-D61,0),0))</f>
        <v>0</v>
      </c>
      <c r="I61" s="37" t="n">
        <f aca="false">IF(L61="Inactive",0,IF(ISNUMBER(F61)*ISNUMBER(E61),IF(F61&gt;E61,F61-E61,0),0))</f>
        <v>0</v>
      </c>
      <c r="J61" s="38" t="n">
        <f aca="false">IF(L61="Inactive",0,IF(ISNUMBER(D61)*ISNUMBER(G61),IF(D61&gt;G61,D61-G61,0),0))</f>
        <v>0</v>
      </c>
      <c r="K61" s="37" t="n">
        <f aca="false">IF(L61="Inactive",0,IF(ISNUMBER(E61)*ISNUMBER(F61),IF(E61&gt;F61,E61-F61,0),0))</f>
        <v>0</v>
      </c>
      <c r="L61" s="34" t="s">
        <v>31</v>
      </c>
      <c r="M61" s="44"/>
      <c r="N61" s="44"/>
      <c r="O61" s="89"/>
      <c r="P61" s="92" t="n">
        <f aca="true">IFERROR(COUNTIFS('2. Mercari and Online store'!$A$8:$A$107,A61,'2. Mercari and Online store'!$B$8:$B$107,"&gt;="&amp;(TODAY()-28))/4,0)</f>
        <v>0</v>
      </c>
      <c r="Q61" s="93" t="str">
        <f aca="false">IFERROR(IF(P61=0,"∞",O61/P61),"—")</f>
        <v>∞</v>
      </c>
      <c r="R61" s="36" t="str">
        <f aca="true">IFERROR(IF(OR(P61=0,O61=""),"N/A",TEXT(TODAY()+(IFERROR(O61/P61,0)*7),"DD-MMM-YYYY")),"—")</f>
        <v>N/A</v>
      </c>
      <c r="S61" s="35" t="str">
        <f aca="false">IF(A61="","—",A61&amp;" ("&amp;TEXT(B61,"MM/DD/YYYY")&amp;")")</f>
        <v>—</v>
      </c>
    </row>
    <row r="62" customFormat="false" ht="19.5" hidden="false" customHeight="true" outlineLevel="0" collapsed="false">
      <c r="A62" s="27"/>
      <c r="B62" s="28"/>
      <c r="C62" s="29" t="str">
        <f aca="false">IF(B62="","",TEXT(B62,"mmmm"))</f>
        <v/>
      </c>
      <c r="D62" s="30"/>
      <c r="E62" s="31" t="str">
        <f aca="false">IF(D62="","",D62*'Exchange Rate'!$E$5)</f>
        <v/>
      </c>
      <c r="F62" s="32"/>
      <c r="G62" s="33" t="str">
        <f aca="false">IF(F62="","",F62*'Exchange Rate'!$B$5)</f>
        <v/>
      </c>
      <c r="H62" s="33" t="n">
        <f aca="false">IF(L62="Inactive",0,IF(ISNUMBER(G62)*ISNUMBER(D62),IF(G62&gt;D62,G62-D62,0),0))</f>
        <v>0</v>
      </c>
      <c r="I62" s="31" t="n">
        <f aca="false">IF(L62="Inactive",0,IF(ISNUMBER(F62)*ISNUMBER(E62),IF(F62&gt;E62,F62-E62,0),0))</f>
        <v>0</v>
      </c>
      <c r="J62" s="33" t="n">
        <f aca="false">IF(L62="Inactive",0,IF(ISNUMBER(D62)*ISNUMBER(G62),IF(D62&gt;G62,D62-G62,0),0))</f>
        <v>0</v>
      </c>
      <c r="K62" s="31" t="n">
        <f aca="false">IF(L62="Inactive",0,IF(ISNUMBER(E62)*ISNUMBER(F62),IF(E62&gt;F62,E62-F62,0),0))</f>
        <v>0</v>
      </c>
      <c r="L62" s="34" t="s">
        <v>31</v>
      </c>
      <c r="M62" s="44"/>
      <c r="N62" s="44"/>
      <c r="O62" s="89"/>
      <c r="P62" s="90" t="n">
        <f aca="true">IFERROR(COUNTIFS('2. Mercari and Online store'!$A$8:$A$107,A62,'2. Mercari and Online store'!$B$8:$B$107,"&gt;="&amp;(TODAY()-28))/4,0)</f>
        <v>0</v>
      </c>
      <c r="Q62" s="91" t="str">
        <f aca="false">IFERROR(IF(P62=0,"∞",O62/P62),"—")</f>
        <v>∞</v>
      </c>
      <c r="R62" s="29" t="str">
        <f aca="true">IFERROR(IF(OR(P62=0,O62=""),"N/A",TEXT(TODAY()+(IFERROR(O62/P62,0)*7),"DD-MMM-YYYY")),"—")</f>
        <v>N/A</v>
      </c>
      <c r="S62" s="35" t="str">
        <f aca="false">IF(A62="","—",A62&amp;" ("&amp;TEXT(B62,"MM/DD/YYYY")&amp;")")</f>
        <v>—</v>
      </c>
    </row>
    <row r="63" customFormat="false" ht="19.5" hidden="false" customHeight="true" outlineLevel="0" collapsed="false">
      <c r="A63" s="27"/>
      <c r="B63" s="28"/>
      <c r="C63" s="36" t="str">
        <f aca="false">IF(B63="","",TEXT(B63,"mmmm"))</f>
        <v/>
      </c>
      <c r="D63" s="30"/>
      <c r="E63" s="37" t="str">
        <f aca="false">IF(D63="","",D63*'Exchange Rate'!$E$5)</f>
        <v/>
      </c>
      <c r="F63" s="32"/>
      <c r="G63" s="38" t="str">
        <f aca="false">IF(F63="","",F63*'Exchange Rate'!$B$5)</f>
        <v/>
      </c>
      <c r="H63" s="38" t="n">
        <f aca="false">IF(L63="Inactive",0,IF(ISNUMBER(G63)*ISNUMBER(D63),IF(G63&gt;D63,G63-D63,0),0))</f>
        <v>0</v>
      </c>
      <c r="I63" s="37" t="n">
        <f aca="false">IF(L63="Inactive",0,IF(ISNUMBER(F63)*ISNUMBER(E63),IF(F63&gt;E63,F63-E63,0),0))</f>
        <v>0</v>
      </c>
      <c r="J63" s="38" t="n">
        <f aca="false">IF(L63="Inactive",0,IF(ISNUMBER(D63)*ISNUMBER(G63),IF(D63&gt;G63,D63-G63,0),0))</f>
        <v>0</v>
      </c>
      <c r="K63" s="37" t="n">
        <f aca="false">IF(L63="Inactive",0,IF(ISNUMBER(E63)*ISNUMBER(F63),IF(E63&gt;F63,E63-F63,0),0))</f>
        <v>0</v>
      </c>
      <c r="L63" s="34" t="s">
        <v>31</v>
      </c>
      <c r="M63" s="44"/>
      <c r="N63" s="44"/>
      <c r="O63" s="89"/>
      <c r="P63" s="92" t="n">
        <f aca="true">IFERROR(COUNTIFS('2. Mercari and Online store'!$A$8:$A$107,A63,'2. Mercari and Online store'!$B$8:$B$107,"&gt;="&amp;(TODAY()-28))/4,0)</f>
        <v>0</v>
      </c>
      <c r="Q63" s="93" t="str">
        <f aca="false">IFERROR(IF(P63=0,"∞",O63/P63),"—")</f>
        <v>∞</v>
      </c>
      <c r="R63" s="36" t="str">
        <f aca="true">IFERROR(IF(OR(P63=0,O63=""),"N/A",TEXT(TODAY()+(IFERROR(O63/P63,0)*7),"DD-MMM-YYYY")),"—")</f>
        <v>N/A</v>
      </c>
      <c r="S63" s="35" t="str">
        <f aca="false">IF(A63="","—",A63&amp;" ("&amp;TEXT(B63,"MM/DD/YYYY")&amp;")")</f>
        <v>—</v>
      </c>
    </row>
    <row r="64" customFormat="false" ht="19.5" hidden="false" customHeight="true" outlineLevel="0" collapsed="false">
      <c r="A64" s="27"/>
      <c r="B64" s="28"/>
      <c r="C64" s="29" t="str">
        <f aca="false">IF(B64="","",TEXT(B64,"mmmm"))</f>
        <v/>
      </c>
      <c r="D64" s="30"/>
      <c r="E64" s="31" t="str">
        <f aca="false">IF(D64="","",D64*'Exchange Rate'!$E$5)</f>
        <v/>
      </c>
      <c r="F64" s="32"/>
      <c r="G64" s="33" t="str">
        <f aca="false">IF(F64="","",F64*'Exchange Rate'!$B$5)</f>
        <v/>
      </c>
      <c r="H64" s="33" t="n">
        <f aca="false">IF(L64="Inactive",0,IF(ISNUMBER(G64)*ISNUMBER(D64),IF(G64&gt;D64,G64-D64,0),0))</f>
        <v>0</v>
      </c>
      <c r="I64" s="31" t="n">
        <f aca="false">IF(L64="Inactive",0,IF(ISNUMBER(F64)*ISNUMBER(E64),IF(F64&gt;E64,F64-E64,0),0))</f>
        <v>0</v>
      </c>
      <c r="J64" s="33" t="n">
        <f aca="false">IF(L64="Inactive",0,IF(ISNUMBER(D64)*ISNUMBER(G64),IF(D64&gt;G64,D64-G64,0),0))</f>
        <v>0</v>
      </c>
      <c r="K64" s="31" t="n">
        <f aca="false">IF(L64="Inactive",0,IF(ISNUMBER(E64)*ISNUMBER(F64),IF(E64&gt;F64,E64-F64,0),0))</f>
        <v>0</v>
      </c>
      <c r="L64" s="34" t="s">
        <v>31</v>
      </c>
      <c r="M64" s="44"/>
      <c r="N64" s="44"/>
      <c r="O64" s="89"/>
      <c r="P64" s="90" t="n">
        <f aca="true">IFERROR(COUNTIFS('2. Mercari and Online store'!$A$8:$A$107,A64,'2. Mercari and Online store'!$B$8:$B$107,"&gt;="&amp;(TODAY()-28))/4,0)</f>
        <v>0</v>
      </c>
      <c r="Q64" s="91" t="str">
        <f aca="false">IFERROR(IF(P64=0,"∞",O64/P64),"—")</f>
        <v>∞</v>
      </c>
      <c r="R64" s="29" t="str">
        <f aca="true">IFERROR(IF(OR(P64=0,O64=""),"N/A",TEXT(TODAY()+(IFERROR(O64/P64,0)*7),"DD-MMM-YYYY")),"—")</f>
        <v>N/A</v>
      </c>
      <c r="S64" s="35" t="str">
        <f aca="false">IF(A64="","—",A64&amp;" ("&amp;TEXT(B64,"MM/DD/YYYY")&amp;")")</f>
        <v>—</v>
      </c>
    </row>
    <row r="65" customFormat="false" ht="19.5" hidden="false" customHeight="true" outlineLevel="0" collapsed="false">
      <c r="A65" s="27"/>
      <c r="B65" s="28"/>
      <c r="C65" s="36" t="str">
        <f aca="false">IF(B65="","",TEXT(B65,"mmmm"))</f>
        <v/>
      </c>
      <c r="D65" s="30"/>
      <c r="E65" s="37" t="str">
        <f aca="false">IF(D65="","",D65*'Exchange Rate'!$E$5)</f>
        <v/>
      </c>
      <c r="F65" s="32"/>
      <c r="G65" s="38" t="str">
        <f aca="false">IF(F65="","",F65*'Exchange Rate'!$B$5)</f>
        <v/>
      </c>
      <c r="H65" s="38" t="n">
        <f aca="false">IF(L65="Inactive",0,IF(ISNUMBER(G65)*ISNUMBER(D65),IF(G65&gt;D65,G65-D65,0),0))</f>
        <v>0</v>
      </c>
      <c r="I65" s="37" t="n">
        <f aca="false">IF(L65="Inactive",0,IF(ISNUMBER(F65)*ISNUMBER(E65),IF(F65&gt;E65,F65-E65,0),0))</f>
        <v>0</v>
      </c>
      <c r="J65" s="38" t="n">
        <f aca="false">IF(L65="Inactive",0,IF(ISNUMBER(D65)*ISNUMBER(G65),IF(D65&gt;G65,D65-G65,0),0))</f>
        <v>0</v>
      </c>
      <c r="K65" s="37" t="n">
        <f aca="false">IF(L65="Inactive",0,IF(ISNUMBER(E65)*ISNUMBER(F65),IF(E65&gt;F65,E65-F65,0),0))</f>
        <v>0</v>
      </c>
      <c r="L65" s="34" t="s">
        <v>31</v>
      </c>
      <c r="M65" s="44"/>
      <c r="N65" s="44"/>
      <c r="O65" s="89"/>
      <c r="P65" s="92" t="n">
        <f aca="true">IFERROR(COUNTIFS('2. Mercari and Online store'!$A$8:$A$107,A65,'2. Mercari and Online store'!$B$8:$B$107,"&gt;="&amp;(TODAY()-28))/4,0)</f>
        <v>0</v>
      </c>
      <c r="Q65" s="93" t="str">
        <f aca="false">IFERROR(IF(P65=0,"∞",O65/P65),"—")</f>
        <v>∞</v>
      </c>
      <c r="R65" s="36" t="str">
        <f aca="true">IFERROR(IF(OR(P65=0,O65=""),"N/A",TEXT(TODAY()+(IFERROR(O65/P65,0)*7),"DD-MMM-YYYY")),"—")</f>
        <v>N/A</v>
      </c>
      <c r="S65" s="35" t="str">
        <f aca="false">IF(A65="","—",A65&amp;" ("&amp;TEXT(B65,"MM/DD/YYYY")&amp;")")</f>
        <v>—</v>
      </c>
    </row>
    <row r="66" customFormat="false" ht="19.5" hidden="false" customHeight="true" outlineLevel="0" collapsed="false">
      <c r="A66" s="27"/>
      <c r="B66" s="28"/>
      <c r="C66" s="29" t="str">
        <f aca="false">IF(B66="","",TEXT(B66,"mmmm"))</f>
        <v/>
      </c>
      <c r="D66" s="30"/>
      <c r="E66" s="31" t="str">
        <f aca="false">IF(D66="","",D66*'Exchange Rate'!$E$5)</f>
        <v/>
      </c>
      <c r="F66" s="32"/>
      <c r="G66" s="33" t="str">
        <f aca="false">IF(F66="","",F66*'Exchange Rate'!$B$5)</f>
        <v/>
      </c>
      <c r="H66" s="33" t="n">
        <f aca="false">IF(L66="Inactive",0,IF(ISNUMBER(G66)*ISNUMBER(D66),IF(G66&gt;D66,G66-D66,0),0))</f>
        <v>0</v>
      </c>
      <c r="I66" s="31" t="n">
        <f aca="false">IF(L66="Inactive",0,IF(ISNUMBER(F66)*ISNUMBER(E66),IF(F66&gt;E66,F66-E66,0),0))</f>
        <v>0</v>
      </c>
      <c r="J66" s="33" t="n">
        <f aca="false">IF(L66="Inactive",0,IF(ISNUMBER(D66)*ISNUMBER(G66),IF(D66&gt;G66,D66-G66,0),0))</f>
        <v>0</v>
      </c>
      <c r="K66" s="31" t="n">
        <f aca="false">IF(L66="Inactive",0,IF(ISNUMBER(E66)*ISNUMBER(F66),IF(E66&gt;F66,E66-F66,0),0))</f>
        <v>0</v>
      </c>
      <c r="L66" s="34" t="s">
        <v>31</v>
      </c>
      <c r="M66" s="44"/>
      <c r="N66" s="44"/>
      <c r="O66" s="89"/>
      <c r="P66" s="90" t="n">
        <f aca="true">IFERROR(COUNTIFS('2. Mercari and Online store'!$A$8:$A$107,A66,'2. Mercari and Online store'!$B$8:$B$107,"&gt;="&amp;(TODAY()-28))/4,0)</f>
        <v>0</v>
      </c>
      <c r="Q66" s="91" t="str">
        <f aca="false">IFERROR(IF(P66=0,"∞",O66/P66),"—")</f>
        <v>∞</v>
      </c>
      <c r="R66" s="29" t="str">
        <f aca="true">IFERROR(IF(OR(P66=0,O66=""),"N/A",TEXT(TODAY()+(IFERROR(O66/P66,0)*7),"DD-MMM-YYYY")),"—")</f>
        <v>N/A</v>
      </c>
      <c r="S66" s="35" t="str">
        <f aca="false">IF(A66="","—",A66&amp;" ("&amp;TEXT(B66,"MM/DD/YYYY")&amp;")")</f>
        <v>—</v>
      </c>
    </row>
    <row r="67" customFormat="false" ht="19.5" hidden="false" customHeight="true" outlineLevel="0" collapsed="false">
      <c r="A67" s="27"/>
      <c r="B67" s="28"/>
      <c r="C67" s="36" t="str">
        <f aca="false">IF(B67="","",TEXT(B67,"mmmm"))</f>
        <v/>
      </c>
      <c r="D67" s="30"/>
      <c r="E67" s="37" t="str">
        <f aca="false">IF(D67="","",D67*'Exchange Rate'!$E$5)</f>
        <v/>
      </c>
      <c r="F67" s="32"/>
      <c r="G67" s="38" t="str">
        <f aca="false">IF(F67="","",F67*'Exchange Rate'!$B$5)</f>
        <v/>
      </c>
      <c r="H67" s="38" t="n">
        <f aca="false">IF(L67="Inactive",0,IF(ISNUMBER(G67)*ISNUMBER(D67),IF(G67&gt;D67,G67-D67,0),0))</f>
        <v>0</v>
      </c>
      <c r="I67" s="37" t="n">
        <f aca="false">IF(L67="Inactive",0,IF(ISNUMBER(F67)*ISNUMBER(E67),IF(F67&gt;E67,F67-E67,0),0))</f>
        <v>0</v>
      </c>
      <c r="J67" s="38" t="n">
        <f aca="false">IF(L67="Inactive",0,IF(ISNUMBER(D67)*ISNUMBER(G67),IF(D67&gt;G67,D67-G67,0),0))</f>
        <v>0</v>
      </c>
      <c r="K67" s="37" t="n">
        <f aca="false">IF(L67="Inactive",0,IF(ISNUMBER(E67)*ISNUMBER(F67),IF(E67&gt;F67,E67-F67,0),0))</f>
        <v>0</v>
      </c>
      <c r="L67" s="34" t="s">
        <v>31</v>
      </c>
      <c r="M67" s="44"/>
      <c r="N67" s="44"/>
      <c r="O67" s="89"/>
      <c r="P67" s="92" t="n">
        <f aca="true">IFERROR(COUNTIFS('2. Mercari and Online store'!$A$8:$A$107,A67,'2. Mercari and Online store'!$B$8:$B$107,"&gt;="&amp;(TODAY()-28))/4,0)</f>
        <v>0</v>
      </c>
      <c r="Q67" s="93" t="str">
        <f aca="false">IFERROR(IF(P67=0,"∞",O67/P67),"—")</f>
        <v>∞</v>
      </c>
      <c r="R67" s="36" t="str">
        <f aca="true">IFERROR(IF(OR(P67=0,O67=""),"N/A",TEXT(TODAY()+(IFERROR(O67/P67,0)*7),"DD-MMM-YYYY")),"—")</f>
        <v>N/A</v>
      </c>
      <c r="S67" s="35" t="str">
        <f aca="false">IF(A67="","—",A67&amp;" ("&amp;TEXT(B67,"MM/DD/YYYY")&amp;")")</f>
        <v>—</v>
      </c>
    </row>
    <row r="68" customFormat="false" ht="19.5" hidden="false" customHeight="true" outlineLevel="0" collapsed="false">
      <c r="A68" s="27"/>
      <c r="B68" s="28"/>
      <c r="C68" s="29" t="str">
        <f aca="false">IF(B68="","",TEXT(B68,"mmmm"))</f>
        <v/>
      </c>
      <c r="D68" s="30"/>
      <c r="E68" s="31" t="str">
        <f aca="false">IF(D68="","",D68*'Exchange Rate'!$E$5)</f>
        <v/>
      </c>
      <c r="F68" s="32"/>
      <c r="G68" s="33" t="str">
        <f aca="false">IF(F68="","",F68*'Exchange Rate'!$B$5)</f>
        <v/>
      </c>
      <c r="H68" s="33" t="n">
        <f aca="false">IF(L68="Inactive",0,IF(ISNUMBER(G68)*ISNUMBER(D68),IF(G68&gt;D68,G68-D68,0),0))</f>
        <v>0</v>
      </c>
      <c r="I68" s="31" t="n">
        <f aca="false">IF(L68="Inactive",0,IF(ISNUMBER(F68)*ISNUMBER(E68),IF(F68&gt;E68,F68-E68,0),0))</f>
        <v>0</v>
      </c>
      <c r="J68" s="33" t="n">
        <f aca="false">IF(L68="Inactive",0,IF(ISNUMBER(D68)*ISNUMBER(G68),IF(D68&gt;G68,D68-G68,0),0))</f>
        <v>0</v>
      </c>
      <c r="K68" s="31" t="n">
        <f aca="false">IF(L68="Inactive",0,IF(ISNUMBER(E68)*ISNUMBER(F68),IF(E68&gt;F68,E68-F68,0),0))</f>
        <v>0</v>
      </c>
      <c r="L68" s="34" t="s">
        <v>31</v>
      </c>
      <c r="M68" s="44"/>
      <c r="N68" s="44"/>
      <c r="O68" s="89"/>
      <c r="P68" s="90" t="n">
        <f aca="true">IFERROR(COUNTIFS('2. Mercari and Online store'!$A$8:$A$107,A68,'2. Mercari and Online store'!$B$8:$B$107,"&gt;="&amp;(TODAY()-28))/4,0)</f>
        <v>0</v>
      </c>
      <c r="Q68" s="91" t="str">
        <f aca="false">IFERROR(IF(P68=0,"∞",O68/P68),"—")</f>
        <v>∞</v>
      </c>
      <c r="R68" s="29" t="str">
        <f aca="true">IFERROR(IF(OR(P68=0,O68=""),"N/A",TEXT(TODAY()+(IFERROR(O68/P68,0)*7),"DD-MMM-YYYY")),"—")</f>
        <v>N/A</v>
      </c>
      <c r="S68" s="35" t="str">
        <f aca="false">IF(A68="","—",A68&amp;" ("&amp;TEXT(B68,"MM/DD/YYYY")&amp;")")</f>
        <v>—</v>
      </c>
    </row>
    <row r="69" customFormat="false" ht="19.5" hidden="false" customHeight="true" outlineLevel="0" collapsed="false">
      <c r="A69" s="27"/>
      <c r="B69" s="28"/>
      <c r="C69" s="36" t="str">
        <f aca="false">IF(B69="","",TEXT(B69,"mmmm"))</f>
        <v/>
      </c>
      <c r="D69" s="30"/>
      <c r="E69" s="37" t="str">
        <f aca="false">IF(D69="","",D69*'Exchange Rate'!$E$5)</f>
        <v/>
      </c>
      <c r="F69" s="32"/>
      <c r="G69" s="38" t="str">
        <f aca="false">IF(F69="","",F69*'Exchange Rate'!$B$5)</f>
        <v/>
      </c>
      <c r="H69" s="38" t="n">
        <f aca="false">IF(L69="Inactive",0,IF(ISNUMBER(G69)*ISNUMBER(D69),IF(G69&gt;D69,G69-D69,0),0))</f>
        <v>0</v>
      </c>
      <c r="I69" s="37" t="n">
        <f aca="false">IF(L69="Inactive",0,IF(ISNUMBER(F69)*ISNUMBER(E69),IF(F69&gt;E69,F69-E69,0),0))</f>
        <v>0</v>
      </c>
      <c r="J69" s="38" t="n">
        <f aca="false">IF(L69="Inactive",0,IF(ISNUMBER(D69)*ISNUMBER(G69),IF(D69&gt;G69,D69-G69,0),0))</f>
        <v>0</v>
      </c>
      <c r="K69" s="37" t="n">
        <f aca="false">IF(L69="Inactive",0,IF(ISNUMBER(E69)*ISNUMBER(F69),IF(E69&gt;F69,E69-F69,0),0))</f>
        <v>0</v>
      </c>
      <c r="L69" s="34" t="s">
        <v>31</v>
      </c>
      <c r="M69" s="44"/>
      <c r="N69" s="44"/>
      <c r="O69" s="89"/>
      <c r="P69" s="92" t="n">
        <f aca="true">IFERROR(COUNTIFS('2. Mercari and Online store'!$A$8:$A$107,A69,'2. Mercari and Online store'!$B$8:$B$107,"&gt;="&amp;(TODAY()-28))/4,0)</f>
        <v>0</v>
      </c>
      <c r="Q69" s="93" t="str">
        <f aca="false">IFERROR(IF(P69=0,"∞",O69/P69),"—")</f>
        <v>∞</v>
      </c>
      <c r="R69" s="36" t="str">
        <f aca="true">IFERROR(IF(OR(P69=0,O69=""),"N/A",TEXT(TODAY()+(IFERROR(O69/P69,0)*7),"DD-MMM-YYYY")),"—")</f>
        <v>N/A</v>
      </c>
      <c r="S69" s="35" t="str">
        <f aca="false">IF(A69="","—",A69&amp;" ("&amp;TEXT(B69,"MM/DD/YYYY")&amp;")")</f>
        <v>—</v>
      </c>
    </row>
    <row r="70" customFormat="false" ht="19.5" hidden="false" customHeight="true" outlineLevel="0" collapsed="false">
      <c r="A70" s="27"/>
      <c r="B70" s="28"/>
      <c r="C70" s="29" t="str">
        <f aca="false">IF(B70="","",TEXT(B70,"mmmm"))</f>
        <v/>
      </c>
      <c r="D70" s="30"/>
      <c r="E70" s="31" t="str">
        <f aca="false">IF(D70="","",D70*'Exchange Rate'!$E$5)</f>
        <v/>
      </c>
      <c r="F70" s="32"/>
      <c r="G70" s="33" t="str">
        <f aca="false">IF(F70="","",F70*'Exchange Rate'!$B$5)</f>
        <v/>
      </c>
      <c r="H70" s="33" t="n">
        <f aca="false">IF(L70="Inactive",0,IF(ISNUMBER(G70)*ISNUMBER(D70),IF(G70&gt;D70,G70-D70,0),0))</f>
        <v>0</v>
      </c>
      <c r="I70" s="31" t="n">
        <f aca="false">IF(L70="Inactive",0,IF(ISNUMBER(F70)*ISNUMBER(E70),IF(F70&gt;E70,F70-E70,0),0))</f>
        <v>0</v>
      </c>
      <c r="J70" s="33" t="n">
        <f aca="false">IF(L70="Inactive",0,IF(ISNUMBER(D70)*ISNUMBER(G70),IF(D70&gt;G70,D70-G70,0),0))</f>
        <v>0</v>
      </c>
      <c r="K70" s="31" t="n">
        <f aca="false">IF(L70="Inactive",0,IF(ISNUMBER(E70)*ISNUMBER(F70),IF(E70&gt;F70,E70-F70,0),0))</f>
        <v>0</v>
      </c>
      <c r="L70" s="34" t="s">
        <v>31</v>
      </c>
      <c r="M70" s="44"/>
      <c r="N70" s="44"/>
      <c r="O70" s="89"/>
      <c r="P70" s="90" t="n">
        <f aca="true">IFERROR(COUNTIFS('2. Mercari and Online store'!$A$8:$A$107,A70,'2. Mercari and Online store'!$B$8:$B$107,"&gt;="&amp;(TODAY()-28))/4,0)</f>
        <v>0</v>
      </c>
      <c r="Q70" s="91" t="str">
        <f aca="false">IFERROR(IF(P70=0,"∞",O70/P70),"—")</f>
        <v>∞</v>
      </c>
      <c r="R70" s="29" t="str">
        <f aca="true">IFERROR(IF(OR(P70=0,O70=""),"N/A",TEXT(TODAY()+(IFERROR(O70/P70,0)*7),"DD-MMM-YYYY")),"—")</f>
        <v>N/A</v>
      </c>
      <c r="S70" s="35" t="str">
        <f aca="false">IF(A70="","—",A70&amp;" ("&amp;TEXT(B70,"MM/DD/YYYY")&amp;")")</f>
        <v>—</v>
      </c>
    </row>
    <row r="71" customFormat="false" ht="19.5" hidden="false" customHeight="true" outlineLevel="0" collapsed="false">
      <c r="A71" s="27"/>
      <c r="B71" s="28"/>
      <c r="C71" s="36" t="str">
        <f aca="false">IF(B71="","",TEXT(B71,"mmmm"))</f>
        <v/>
      </c>
      <c r="D71" s="30"/>
      <c r="E71" s="37" t="str">
        <f aca="false">IF(D71="","",D71*'Exchange Rate'!$E$5)</f>
        <v/>
      </c>
      <c r="F71" s="32"/>
      <c r="G71" s="38" t="str">
        <f aca="false">IF(F71="","",F71*'Exchange Rate'!$B$5)</f>
        <v/>
      </c>
      <c r="H71" s="38" t="n">
        <f aca="false">IF(L71="Inactive",0,IF(ISNUMBER(G71)*ISNUMBER(D71),IF(G71&gt;D71,G71-D71,0),0))</f>
        <v>0</v>
      </c>
      <c r="I71" s="37" t="n">
        <f aca="false">IF(L71="Inactive",0,IF(ISNUMBER(F71)*ISNUMBER(E71),IF(F71&gt;E71,F71-E71,0),0))</f>
        <v>0</v>
      </c>
      <c r="J71" s="38" t="n">
        <f aca="false">IF(L71="Inactive",0,IF(ISNUMBER(D71)*ISNUMBER(G71),IF(D71&gt;G71,D71-G71,0),0))</f>
        <v>0</v>
      </c>
      <c r="K71" s="37" t="n">
        <f aca="false">IF(L71="Inactive",0,IF(ISNUMBER(E71)*ISNUMBER(F71),IF(E71&gt;F71,E71-F71,0),0))</f>
        <v>0</v>
      </c>
      <c r="L71" s="34" t="s">
        <v>31</v>
      </c>
      <c r="M71" s="44"/>
      <c r="N71" s="44"/>
      <c r="O71" s="89"/>
      <c r="P71" s="92" t="n">
        <f aca="true">IFERROR(COUNTIFS('2. Mercari and Online store'!$A$8:$A$107,A71,'2. Mercari and Online store'!$B$8:$B$107,"&gt;="&amp;(TODAY()-28))/4,0)</f>
        <v>0</v>
      </c>
      <c r="Q71" s="93" t="str">
        <f aca="false">IFERROR(IF(P71=0,"∞",O71/P71),"—")</f>
        <v>∞</v>
      </c>
      <c r="R71" s="36" t="str">
        <f aca="true">IFERROR(IF(OR(P71=0,O71=""),"N/A",TEXT(TODAY()+(IFERROR(O71/P71,0)*7),"DD-MMM-YYYY")),"—")</f>
        <v>N/A</v>
      </c>
      <c r="S71" s="35" t="str">
        <f aca="false">IF(A71="","—",A71&amp;" ("&amp;TEXT(B71,"MM/DD/YYYY")&amp;")")</f>
        <v>—</v>
      </c>
    </row>
    <row r="72" customFormat="false" ht="19.5" hidden="false" customHeight="true" outlineLevel="0" collapsed="false">
      <c r="A72" s="27"/>
      <c r="B72" s="28"/>
      <c r="C72" s="29" t="str">
        <f aca="false">IF(B72="","",TEXT(B72,"mmmm"))</f>
        <v/>
      </c>
      <c r="D72" s="30"/>
      <c r="E72" s="31" t="str">
        <f aca="false">IF(D72="","",D72*'Exchange Rate'!$E$5)</f>
        <v/>
      </c>
      <c r="F72" s="32"/>
      <c r="G72" s="33" t="str">
        <f aca="false">IF(F72="","",F72*'Exchange Rate'!$B$5)</f>
        <v/>
      </c>
      <c r="H72" s="33" t="n">
        <f aca="false">IF(L72="Inactive",0,IF(ISNUMBER(G72)*ISNUMBER(D72),IF(G72&gt;D72,G72-D72,0),0))</f>
        <v>0</v>
      </c>
      <c r="I72" s="31" t="n">
        <f aca="false">IF(L72="Inactive",0,IF(ISNUMBER(F72)*ISNUMBER(E72),IF(F72&gt;E72,F72-E72,0),0))</f>
        <v>0</v>
      </c>
      <c r="J72" s="33" t="n">
        <f aca="false">IF(L72="Inactive",0,IF(ISNUMBER(D72)*ISNUMBER(G72),IF(D72&gt;G72,D72-G72,0),0))</f>
        <v>0</v>
      </c>
      <c r="K72" s="31" t="n">
        <f aca="false">IF(L72="Inactive",0,IF(ISNUMBER(E72)*ISNUMBER(F72),IF(E72&gt;F72,E72-F72,0),0))</f>
        <v>0</v>
      </c>
      <c r="L72" s="34" t="s">
        <v>31</v>
      </c>
      <c r="M72" s="44"/>
      <c r="N72" s="44"/>
      <c r="O72" s="89"/>
      <c r="P72" s="90" t="n">
        <f aca="true">IFERROR(COUNTIFS('2. Mercari and Online store'!$A$8:$A$107,A72,'2. Mercari and Online store'!$B$8:$B$107,"&gt;="&amp;(TODAY()-28))/4,0)</f>
        <v>0</v>
      </c>
      <c r="Q72" s="91" t="str">
        <f aca="false">IFERROR(IF(P72=0,"∞",O72/P72),"—")</f>
        <v>∞</v>
      </c>
      <c r="R72" s="29" t="str">
        <f aca="true">IFERROR(IF(OR(P72=0,O72=""),"N/A",TEXT(TODAY()+(IFERROR(O72/P72,0)*7),"DD-MMM-YYYY")),"—")</f>
        <v>N/A</v>
      </c>
      <c r="S72" s="35" t="str">
        <f aca="false">IF(A72="","—",A72&amp;" ("&amp;TEXT(B72,"MM/DD/YYYY")&amp;")")</f>
        <v>—</v>
      </c>
    </row>
    <row r="73" customFormat="false" ht="19.5" hidden="false" customHeight="true" outlineLevel="0" collapsed="false">
      <c r="A73" s="27"/>
      <c r="B73" s="28"/>
      <c r="C73" s="36" t="str">
        <f aca="false">IF(B73="","",TEXT(B73,"mmmm"))</f>
        <v/>
      </c>
      <c r="D73" s="30"/>
      <c r="E73" s="37" t="str">
        <f aca="false">IF(D73="","",D73*'Exchange Rate'!$E$5)</f>
        <v/>
      </c>
      <c r="F73" s="32"/>
      <c r="G73" s="38" t="str">
        <f aca="false">IF(F73="","",F73*'Exchange Rate'!$B$5)</f>
        <v/>
      </c>
      <c r="H73" s="38" t="n">
        <f aca="false">IF(L73="Inactive",0,IF(ISNUMBER(G73)*ISNUMBER(D73),IF(G73&gt;D73,G73-D73,0),0))</f>
        <v>0</v>
      </c>
      <c r="I73" s="37" t="n">
        <f aca="false">IF(L73="Inactive",0,IF(ISNUMBER(F73)*ISNUMBER(E73),IF(F73&gt;E73,F73-E73,0),0))</f>
        <v>0</v>
      </c>
      <c r="J73" s="38" t="n">
        <f aca="false">IF(L73="Inactive",0,IF(ISNUMBER(D73)*ISNUMBER(G73),IF(D73&gt;G73,D73-G73,0),0))</f>
        <v>0</v>
      </c>
      <c r="K73" s="37" t="n">
        <f aca="false">IF(L73="Inactive",0,IF(ISNUMBER(E73)*ISNUMBER(F73),IF(E73&gt;F73,E73-F73,0),0))</f>
        <v>0</v>
      </c>
      <c r="L73" s="34" t="s">
        <v>31</v>
      </c>
      <c r="M73" s="44"/>
      <c r="N73" s="44"/>
      <c r="O73" s="89"/>
      <c r="P73" s="92" t="n">
        <f aca="true">IFERROR(COUNTIFS('2. Mercari and Online store'!$A$8:$A$107,A73,'2. Mercari and Online store'!$B$8:$B$107,"&gt;="&amp;(TODAY()-28))/4,0)</f>
        <v>0</v>
      </c>
      <c r="Q73" s="93" t="str">
        <f aca="false">IFERROR(IF(P73=0,"∞",O73/P73),"—")</f>
        <v>∞</v>
      </c>
      <c r="R73" s="36" t="str">
        <f aca="true">IFERROR(IF(OR(P73=0,O73=""),"N/A",TEXT(TODAY()+(IFERROR(O73/P73,0)*7),"DD-MMM-YYYY")),"—")</f>
        <v>N/A</v>
      </c>
      <c r="S73" s="35" t="str">
        <f aca="false">IF(A73="","—",A73&amp;" ("&amp;TEXT(B73,"MM/DD/YYYY")&amp;")")</f>
        <v>—</v>
      </c>
    </row>
    <row r="74" customFormat="false" ht="19.5" hidden="false" customHeight="true" outlineLevel="0" collapsed="false">
      <c r="A74" s="27"/>
      <c r="B74" s="28"/>
      <c r="C74" s="29" t="str">
        <f aca="false">IF(B74="","",TEXT(B74,"mmmm"))</f>
        <v/>
      </c>
      <c r="D74" s="30"/>
      <c r="E74" s="31" t="str">
        <f aca="false">IF(D74="","",D74*'Exchange Rate'!$E$5)</f>
        <v/>
      </c>
      <c r="F74" s="32"/>
      <c r="G74" s="33" t="str">
        <f aca="false">IF(F74="","",F74*'Exchange Rate'!$B$5)</f>
        <v/>
      </c>
      <c r="H74" s="33" t="n">
        <f aca="false">IF(L74="Inactive",0,IF(ISNUMBER(G74)*ISNUMBER(D74),IF(G74&gt;D74,G74-D74,0),0))</f>
        <v>0</v>
      </c>
      <c r="I74" s="31" t="n">
        <f aca="false">IF(L74="Inactive",0,IF(ISNUMBER(F74)*ISNUMBER(E74),IF(F74&gt;E74,F74-E74,0),0))</f>
        <v>0</v>
      </c>
      <c r="J74" s="33" t="n">
        <f aca="false">IF(L74="Inactive",0,IF(ISNUMBER(D74)*ISNUMBER(G74),IF(D74&gt;G74,D74-G74,0),0))</f>
        <v>0</v>
      </c>
      <c r="K74" s="31" t="n">
        <f aca="false">IF(L74="Inactive",0,IF(ISNUMBER(E74)*ISNUMBER(F74),IF(E74&gt;F74,E74-F74,0),0))</f>
        <v>0</v>
      </c>
      <c r="L74" s="34" t="s">
        <v>31</v>
      </c>
      <c r="M74" s="44"/>
      <c r="N74" s="44"/>
      <c r="O74" s="89"/>
      <c r="P74" s="90" t="n">
        <f aca="true">IFERROR(COUNTIFS('2. Mercari and Online store'!$A$8:$A$107,A74,'2. Mercari and Online store'!$B$8:$B$107,"&gt;="&amp;(TODAY()-28))/4,0)</f>
        <v>0</v>
      </c>
      <c r="Q74" s="91" t="str">
        <f aca="false">IFERROR(IF(P74=0,"∞",O74/P74),"—")</f>
        <v>∞</v>
      </c>
      <c r="R74" s="29" t="str">
        <f aca="true">IFERROR(IF(OR(P74=0,O74=""),"N/A",TEXT(TODAY()+(IFERROR(O74/P74,0)*7),"DD-MMM-YYYY")),"—")</f>
        <v>N/A</v>
      </c>
      <c r="S74" s="35" t="str">
        <f aca="false">IF(A74="","—",A74&amp;" ("&amp;TEXT(B74,"MM/DD/YYYY")&amp;")")</f>
        <v>—</v>
      </c>
    </row>
    <row r="75" customFormat="false" ht="19.5" hidden="false" customHeight="true" outlineLevel="0" collapsed="false">
      <c r="A75" s="27"/>
      <c r="B75" s="28"/>
      <c r="C75" s="36" t="str">
        <f aca="false">IF(B75="","",TEXT(B75,"mmmm"))</f>
        <v/>
      </c>
      <c r="D75" s="30"/>
      <c r="E75" s="37" t="str">
        <f aca="false">IF(D75="","",D75*'Exchange Rate'!$E$5)</f>
        <v/>
      </c>
      <c r="F75" s="32"/>
      <c r="G75" s="38" t="str">
        <f aca="false">IF(F75="","",F75*'Exchange Rate'!$B$5)</f>
        <v/>
      </c>
      <c r="H75" s="38" t="n">
        <f aca="false">IF(L75="Inactive",0,IF(ISNUMBER(G75)*ISNUMBER(D75),IF(G75&gt;D75,G75-D75,0),0))</f>
        <v>0</v>
      </c>
      <c r="I75" s="37" t="n">
        <f aca="false">IF(L75="Inactive",0,IF(ISNUMBER(F75)*ISNUMBER(E75),IF(F75&gt;E75,F75-E75,0),0))</f>
        <v>0</v>
      </c>
      <c r="J75" s="38" t="n">
        <f aca="false">IF(L75="Inactive",0,IF(ISNUMBER(D75)*ISNUMBER(G75),IF(D75&gt;G75,D75-G75,0),0))</f>
        <v>0</v>
      </c>
      <c r="K75" s="37" t="n">
        <f aca="false">IF(L75="Inactive",0,IF(ISNUMBER(E75)*ISNUMBER(F75),IF(E75&gt;F75,E75-F75,0),0))</f>
        <v>0</v>
      </c>
      <c r="L75" s="34" t="s">
        <v>31</v>
      </c>
      <c r="M75" s="44"/>
      <c r="N75" s="44"/>
      <c r="O75" s="89"/>
      <c r="P75" s="92" t="n">
        <f aca="true">IFERROR(COUNTIFS('2. Mercari and Online store'!$A$8:$A$107,A75,'2. Mercari and Online store'!$B$8:$B$107,"&gt;="&amp;(TODAY()-28))/4,0)</f>
        <v>0</v>
      </c>
      <c r="Q75" s="93" t="str">
        <f aca="false">IFERROR(IF(P75=0,"∞",O75/P75),"—")</f>
        <v>∞</v>
      </c>
      <c r="R75" s="36" t="str">
        <f aca="true">IFERROR(IF(OR(P75=0,O75=""),"N/A",TEXT(TODAY()+(IFERROR(O75/P75,0)*7),"DD-MMM-YYYY")),"—")</f>
        <v>N/A</v>
      </c>
      <c r="S75" s="35" t="str">
        <f aca="false">IF(A75="","—",A75&amp;" ("&amp;TEXT(B75,"MM/DD/YYYY")&amp;")")</f>
        <v>—</v>
      </c>
    </row>
    <row r="76" customFormat="false" ht="19.5" hidden="false" customHeight="true" outlineLevel="0" collapsed="false">
      <c r="A76" s="27"/>
      <c r="B76" s="28"/>
      <c r="C76" s="29" t="str">
        <f aca="false">IF(B76="","",TEXT(B76,"mmmm"))</f>
        <v/>
      </c>
      <c r="D76" s="30"/>
      <c r="E76" s="31" t="str">
        <f aca="false">IF(D76="","",D76*'Exchange Rate'!$E$5)</f>
        <v/>
      </c>
      <c r="F76" s="32"/>
      <c r="G76" s="33" t="str">
        <f aca="false">IF(F76="","",F76*'Exchange Rate'!$B$5)</f>
        <v/>
      </c>
      <c r="H76" s="33" t="n">
        <f aca="false">IF(L76="Inactive",0,IF(ISNUMBER(G76)*ISNUMBER(D76),IF(G76&gt;D76,G76-D76,0),0))</f>
        <v>0</v>
      </c>
      <c r="I76" s="31" t="n">
        <f aca="false">IF(L76="Inactive",0,IF(ISNUMBER(F76)*ISNUMBER(E76),IF(F76&gt;E76,F76-E76,0),0))</f>
        <v>0</v>
      </c>
      <c r="J76" s="33" t="n">
        <f aca="false">IF(L76="Inactive",0,IF(ISNUMBER(D76)*ISNUMBER(G76),IF(D76&gt;G76,D76-G76,0),0))</f>
        <v>0</v>
      </c>
      <c r="K76" s="31" t="n">
        <f aca="false">IF(L76="Inactive",0,IF(ISNUMBER(E76)*ISNUMBER(F76),IF(E76&gt;F76,E76-F76,0),0))</f>
        <v>0</v>
      </c>
      <c r="L76" s="34" t="s">
        <v>31</v>
      </c>
      <c r="M76" s="44"/>
      <c r="N76" s="44"/>
      <c r="O76" s="89"/>
      <c r="P76" s="90" t="n">
        <f aca="true">IFERROR(COUNTIFS('2. Mercari and Online store'!$A$8:$A$107,A76,'2. Mercari and Online store'!$B$8:$B$107,"&gt;="&amp;(TODAY()-28))/4,0)</f>
        <v>0</v>
      </c>
      <c r="Q76" s="91" t="str">
        <f aca="false">IFERROR(IF(P76=0,"∞",O76/P76),"—")</f>
        <v>∞</v>
      </c>
      <c r="R76" s="29" t="str">
        <f aca="true">IFERROR(IF(OR(P76=0,O76=""),"N/A",TEXT(TODAY()+(IFERROR(O76/P76,0)*7),"DD-MMM-YYYY")),"—")</f>
        <v>N/A</v>
      </c>
      <c r="S76" s="35" t="str">
        <f aca="false">IF(A76="","—",A76&amp;" ("&amp;TEXT(B76,"MM/DD/YYYY")&amp;")")</f>
        <v>—</v>
      </c>
    </row>
    <row r="77" customFormat="false" ht="19.5" hidden="false" customHeight="true" outlineLevel="0" collapsed="false">
      <c r="A77" s="27"/>
      <c r="B77" s="28"/>
      <c r="C77" s="36" t="str">
        <f aca="false">IF(B77="","",TEXT(B77,"mmmm"))</f>
        <v/>
      </c>
      <c r="D77" s="30"/>
      <c r="E77" s="37" t="str">
        <f aca="false">IF(D77="","",D77*'Exchange Rate'!$E$5)</f>
        <v/>
      </c>
      <c r="F77" s="32"/>
      <c r="G77" s="38" t="str">
        <f aca="false">IF(F77="","",F77*'Exchange Rate'!$B$5)</f>
        <v/>
      </c>
      <c r="H77" s="38" t="n">
        <f aca="false">IF(L77="Inactive",0,IF(ISNUMBER(G77)*ISNUMBER(D77),IF(G77&gt;D77,G77-D77,0),0))</f>
        <v>0</v>
      </c>
      <c r="I77" s="37" t="n">
        <f aca="false">IF(L77="Inactive",0,IF(ISNUMBER(F77)*ISNUMBER(E77),IF(F77&gt;E77,F77-E77,0),0))</f>
        <v>0</v>
      </c>
      <c r="J77" s="38" t="n">
        <f aca="false">IF(L77="Inactive",0,IF(ISNUMBER(D77)*ISNUMBER(G77),IF(D77&gt;G77,D77-G77,0),0))</f>
        <v>0</v>
      </c>
      <c r="K77" s="37" t="n">
        <f aca="false">IF(L77="Inactive",0,IF(ISNUMBER(E77)*ISNUMBER(F77),IF(E77&gt;F77,E77-F77,0),0))</f>
        <v>0</v>
      </c>
      <c r="L77" s="34" t="s">
        <v>31</v>
      </c>
      <c r="M77" s="44"/>
      <c r="N77" s="44"/>
      <c r="O77" s="89"/>
      <c r="P77" s="92" t="n">
        <f aca="true">IFERROR(COUNTIFS('2. Mercari and Online store'!$A$8:$A$107,A77,'2. Mercari and Online store'!$B$8:$B$107,"&gt;="&amp;(TODAY()-28))/4,0)</f>
        <v>0</v>
      </c>
      <c r="Q77" s="93" t="str">
        <f aca="false">IFERROR(IF(P77=0,"∞",O77/P77),"—")</f>
        <v>∞</v>
      </c>
      <c r="R77" s="36" t="str">
        <f aca="true">IFERROR(IF(OR(P77=0,O77=""),"N/A",TEXT(TODAY()+(IFERROR(O77/P77,0)*7),"DD-MMM-YYYY")),"—")</f>
        <v>N/A</v>
      </c>
      <c r="S77" s="35" t="str">
        <f aca="false">IF(A77="","—",A77&amp;" ("&amp;TEXT(B77,"MM/DD/YYYY")&amp;")")</f>
        <v>—</v>
      </c>
    </row>
    <row r="78" customFormat="false" ht="19.5" hidden="false" customHeight="true" outlineLevel="0" collapsed="false">
      <c r="A78" s="27"/>
      <c r="B78" s="28"/>
      <c r="C78" s="29" t="str">
        <f aca="false">IF(B78="","",TEXT(B78,"mmmm"))</f>
        <v/>
      </c>
      <c r="D78" s="30"/>
      <c r="E78" s="31" t="str">
        <f aca="false">IF(D78="","",D78*'Exchange Rate'!$E$5)</f>
        <v/>
      </c>
      <c r="F78" s="32"/>
      <c r="G78" s="33" t="str">
        <f aca="false">IF(F78="","",F78*'Exchange Rate'!$B$5)</f>
        <v/>
      </c>
      <c r="H78" s="33" t="n">
        <f aca="false">IF(L78="Inactive",0,IF(ISNUMBER(G78)*ISNUMBER(D78),IF(G78&gt;D78,G78-D78,0),0))</f>
        <v>0</v>
      </c>
      <c r="I78" s="31" t="n">
        <f aca="false">IF(L78="Inactive",0,IF(ISNUMBER(F78)*ISNUMBER(E78),IF(F78&gt;E78,F78-E78,0),0))</f>
        <v>0</v>
      </c>
      <c r="J78" s="33" t="n">
        <f aca="false">IF(L78="Inactive",0,IF(ISNUMBER(D78)*ISNUMBER(G78),IF(D78&gt;G78,D78-G78,0),0))</f>
        <v>0</v>
      </c>
      <c r="K78" s="31" t="n">
        <f aca="false">IF(L78="Inactive",0,IF(ISNUMBER(E78)*ISNUMBER(F78),IF(E78&gt;F78,E78-F78,0),0))</f>
        <v>0</v>
      </c>
      <c r="L78" s="34" t="s">
        <v>31</v>
      </c>
      <c r="M78" s="44"/>
      <c r="N78" s="44"/>
      <c r="O78" s="89"/>
      <c r="P78" s="90" t="n">
        <f aca="true">IFERROR(COUNTIFS('2. Mercari and Online store'!$A$8:$A$107,A78,'2. Mercari and Online store'!$B$8:$B$107,"&gt;="&amp;(TODAY()-28))/4,0)</f>
        <v>0</v>
      </c>
      <c r="Q78" s="91" t="str">
        <f aca="false">IFERROR(IF(P78=0,"∞",O78/P78),"—")</f>
        <v>∞</v>
      </c>
      <c r="R78" s="29" t="str">
        <f aca="true">IFERROR(IF(OR(P78=0,O78=""),"N/A",TEXT(TODAY()+(IFERROR(O78/P78,0)*7),"DD-MMM-YYYY")),"—")</f>
        <v>N/A</v>
      </c>
      <c r="S78" s="35" t="str">
        <f aca="false">IF(A78="","—",A78&amp;" ("&amp;TEXT(B78,"MM/DD/YYYY")&amp;")")</f>
        <v>—</v>
      </c>
    </row>
    <row r="79" customFormat="false" ht="19.5" hidden="false" customHeight="true" outlineLevel="0" collapsed="false">
      <c r="A79" s="27"/>
      <c r="B79" s="28"/>
      <c r="C79" s="36" t="str">
        <f aca="false">IF(B79="","",TEXT(B79,"mmmm"))</f>
        <v/>
      </c>
      <c r="D79" s="30"/>
      <c r="E79" s="37" t="str">
        <f aca="false">IF(D79="","",D79*'Exchange Rate'!$E$5)</f>
        <v/>
      </c>
      <c r="F79" s="32"/>
      <c r="G79" s="38" t="str">
        <f aca="false">IF(F79="","",F79*'Exchange Rate'!$B$5)</f>
        <v/>
      </c>
      <c r="H79" s="38" t="n">
        <f aca="false">IF(L79="Inactive",0,IF(ISNUMBER(G79)*ISNUMBER(D79),IF(G79&gt;D79,G79-D79,0),0))</f>
        <v>0</v>
      </c>
      <c r="I79" s="37" t="n">
        <f aca="false">IF(L79="Inactive",0,IF(ISNUMBER(F79)*ISNUMBER(E79),IF(F79&gt;E79,F79-E79,0),0))</f>
        <v>0</v>
      </c>
      <c r="J79" s="38" t="n">
        <f aca="false">IF(L79="Inactive",0,IF(ISNUMBER(D79)*ISNUMBER(G79),IF(D79&gt;G79,D79-G79,0),0))</f>
        <v>0</v>
      </c>
      <c r="K79" s="37" t="n">
        <f aca="false">IF(L79="Inactive",0,IF(ISNUMBER(E79)*ISNUMBER(F79),IF(E79&gt;F79,E79-F79,0),0))</f>
        <v>0</v>
      </c>
      <c r="L79" s="34" t="s">
        <v>31</v>
      </c>
      <c r="M79" s="44"/>
      <c r="N79" s="44"/>
      <c r="O79" s="89"/>
      <c r="P79" s="92" t="n">
        <f aca="true">IFERROR(COUNTIFS('2. Mercari and Online store'!$A$8:$A$107,A79,'2. Mercari and Online store'!$B$8:$B$107,"&gt;="&amp;(TODAY()-28))/4,0)</f>
        <v>0</v>
      </c>
      <c r="Q79" s="93" t="str">
        <f aca="false">IFERROR(IF(P79=0,"∞",O79/P79),"—")</f>
        <v>∞</v>
      </c>
      <c r="R79" s="36" t="str">
        <f aca="true">IFERROR(IF(OR(P79=0,O79=""),"N/A",TEXT(TODAY()+(IFERROR(O79/P79,0)*7),"DD-MMM-YYYY")),"—")</f>
        <v>N/A</v>
      </c>
      <c r="S79" s="35" t="str">
        <f aca="false">IF(A79="","—",A79&amp;" ("&amp;TEXT(B79,"MM/DD/YYYY")&amp;")")</f>
        <v>—</v>
      </c>
    </row>
    <row r="80" customFormat="false" ht="19.5" hidden="false" customHeight="true" outlineLevel="0" collapsed="false">
      <c r="A80" s="27"/>
      <c r="B80" s="28"/>
      <c r="C80" s="29" t="str">
        <f aca="false">IF(B80="","",TEXT(B80,"mmmm"))</f>
        <v/>
      </c>
      <c r="D80" s="30"/>
      <c r="E80" s="31" t="str">
        <f aca="false">IF(D80="","",D80*'Exchange Rate'!$E$5)</f>
        <v/>
      </c>
      <c r="F80" s="32"/>
      <c r="G80" s="33" t="str">
        <f aca="false">IF(F80="","",F80*'Exchange Rate'!$B$5)</f>
        <v/>
      </c>
      <c r="H80" s="33" t="n">
        <f aca="false">IF(L80="Inactive",0,IF(ISNUMBER(G80)*ISNUMBER(D80),IF(G80&gt;D80,G80-D80,0),0))</f>
        <v>0</v>
      </c>
      <c r="I80" s="31" t="n">
        <f aca="false">IF(L80="Inactive",0,IF(ISNUMBER(F80)*ISNUMBER(E80),IF(F80&gt;E80,F80-E80,0),0))</f>
        <v>0</v>
      </c>
      <c r="J80" s="33" t="n">
        <f aca="false">IF(L80="Inactive",0,IF(ISNUMBER(D80)*ISNUMBER(G80),IF(D80&gt;G80,D80-G80,0),0))</f>
        <v>0</v>
      </c>
      <c r="K80" s="31" t="n">
        <f aca="false">IF(L80="Inactive",0,IF(ISNUMBER(E80)*ISNUMBER(F80),IF(E80&gt;F80,E80-F80,0),0))</f>
        <v>0</v>
      </c>
      <c r="L80" s="34" t="s">
        <v>31</v>
      </c>
      <c r="M80" s="44"/>
      <c r="N80" s="44"/>
      <c r="O80" s="89"/>
      <c r="P80" s="90" t="n">
        <f aca="true">IFERROR(COUNTIFS('2. Mercari and Online store'!$A$8:$A$107,A80,'2. Mercari and Online store'!$B$8:$B$107,"&gt;="&amp;(TODAY()-28))/4,0)</f>
        <v>0</v>
      </c>
      <c r="Q80" s="91" t="str">
        <f aca="false">IFERROR(IF(P80=0,"∞",O80/P80),"—")</f>
        <v>∞</v>
      </c>
      <c r="R80" s="29" t="str">
        <f aca="true">IFERROR(IF(OR(P80=0,O80=""),"N/A",TEXT(TODAY()+(IFERROR(O80/P80,0)*7),"DD-MMM-YYYY")),"—")</f>
        <v>N/A</v>
      </c>
      <c r="S80" s="35" t="str">
        <f aca="false">IF(A80="","—",A80&amp;" ("&amp;TEXT(B80,"MM/DD/YYYY")&amp;")")</f>
        <v>—</v>
      </c>
    </row>
    <row r="81" customFormat="false" ht="19.5" hidden="false" customHeight="true" outlineLevel="0" collapsed="false">
      <c r="A81" s="27"/>
      <c r="B81" s="28"/>
      <c r="C81" s="36" t="str">
        <f aca="false">IF(B81="","",TEXT(B81,"mmmm"))</f>
        <v/>
      </c>
      <c r="D81" s="30"/>
      <c r="E81" s="37" t="str">
        <f aca="false">IF(D81="","",D81*'Exchange Rate'!$E$5)</f>
        <v/>
      </c>
      <c r="F81" s="32"/>
      <c r="G81" s="38" t="str">
        <f aca="false">IF(F81="","",F81*'Exchange Rate'!$B$5)</f>
        <v/>
      </c>
      <c r="H81" s="38" t="n">
        <f aca="false">IF(L81="Inactive",0,IF(ISNUMBER(G81)*ISNUMBER(D81),IF(G81&gt;D81,G81-D81,0),0))</f>
        <v>0</v>
      </c>
      <c r="I81" s="37" t="n">
        <f aca="false">IF(L81="Inactive",0,IF(ISNUMBER(F81)*ISNUMBER(E81),IF(F81&gt;E81,F81-E81,0),0))</f>
        <v>0</v>
      </c>
      <c r="J81" s="38" t="n">
        <f aca="false">IF(L81="Inactive",0,IF(ISNUMBER(D81)*ISNUMBER(G81),IF(D81&gt;G81,D81-G81,0),0))</f>
        <v>0</v>
      </c>
      <c r="K81" s="37" t="n">
        <f aca="false">IF(L81="Inactive",0,IF(ISNUMBER(E81)*ISNUMBER(F81),IF(E81&gt;F81,E81-F81,0),0))</f>
        <v>0</v>
      </c>
      <c r="L81" s="34" t="s">
        <v>31</v>
      </c>
      <c r="M81" s="44"/>
      <c r="N81" s="44"/>
      <c r="O81" s="89"/>
      <c r="P81" s="92" t="n">
        <f aca="true">IFERROR(COUNTIFS('2. Mercari and Online store'!$A$8:$A$107,A81,'2. Mercari and Online store'!$B$8:$B$107,"&gt;="&amp;(TODAY()-28))/4,0)</f>
        <v>0</v>
      </c>
      <c r="Q81" s="93" t="str">
        <f aca="false">IFERROR(IF(P81=0,"∞",O81/P81),"—")</f>
        <v>∞</v>
      </c>
      <c r="R81" s="36" t="str">
        <f aca="true">IFERROR(IF(OR(P81=0,O81=""),"N/A",TEXT(TODAY()+(IFERROR(O81/P81,0)*7),"DD-MMM-YYYY")),"—")</f>
        <v>N/A</v>
      </c>
      <c r="S81" s="35" t="str">
        <f aca="false">IF(A81="","—",A81&amp;" ("&amp;TEXT(B81,"MM/DD/YYYY")&amp;")")</f>
        <v>—</v>
      </c>
    </row>
    <row r="82" customFormat="false" ht="19.5" hidden="false" customHeight="true" outlineLevel="0" collapsed="false">
      <c r="A82" s="27"/>
      <c r="B82" s="28"/>
      <c r="C82" s="29" t="str">
        <f aca="false">IF(B82="","",TEXT(B82,"mmmm"))</f>
        <v/>
      </c>
      <c r="D82" s="30"/>
      <c r="E82" s="31" t="str">
        <f aca="false">IF(D82="","",D82*'Exchange Rate'!$E$5)</f>
        <v/>
      </c>
      <c r="F82" s="32"/>
      <c r="G82" s="33" t="str">
        <f aca="false">IF(F82="","",F82*'Exchange Rate'!$B$5)</f>
        <v/>
      </c>
      <c r="H82" s="33" t="n">
        <f aca="false">IF(L82="Inactive",0,IF(ISNUMBER(G82)*ISNUMBER(D82),IF(G82&gt;D82,G82-D82,0),0))</f>
        <v>0</v>
      </c>
      <c r="I82" s="31" t="n">
        <f aca="false">IF(L82="Inactive",0,IF(ISNUMBER(F82)*ISNUMBER(E82),IF(F82&gt;E82,F82-E82,0),0))</f>
        <v>0</v>
      </c>
      <c r="J82" s="33" t="n">
        <f aca="false">IF(L82="Inactive",0,IF(ISNUMBER(D82)*ISNUMBER(G82),IF(D82&gt;G82,D82-G82,0),0))</f>
        <v>0</v>
      </c>
      <c r="K82" s="31" t="n">
        <f aca="false">IF(L82="Inactive",0,IF(ISNUMBER(E82)*ISNUMBER(F82),IF(E82&gt;F82,E82-F82,0),0))</f>
        <v>0</v>
      </c>
      <c r="L82" s="34" t="s">
        <v>31</v>
      </c>
      <c r="M82" s="44"/>
      <c r="N82" s="44"/>
      <c r="O82" s="89"/>
      <c r="P82" s="90" t="n">
        <f aca="true">IFERROR(COUNTIFS('2. Mercari and Online store'!$A$8:$A$107,A82,'2. Mercari and Online store'!$B$8:$B$107,"&gt;="&amp;(TODAY()-28))/4,0)</f>
        <v>0</v>
      </c>
      <c r="Q82" s="91" t="str">
        <f aca="false">IFERROR(IF(P82=0,"∞",O82/P82),"—")</f>
        <v>∞</v>
      </c>
      <c r="R82" s="29" t="str">
        <f aca="true">IFERROR(IF(OR(P82=0,O82=""),"N/A",TEXT(TODAY()+(IFERROR(O82/P82,0)*7),"DD-MMM-YYYY")),"—")</f>
        <v>N/A</v>
      </c>
      <c r="S82" s="35" t="str">
        <f aca="false">IF(A82="","—",A82&amp;" ("&amp;TEXT(B82,"MM/DD/YYYY")&amp;")")</f>
        <v>—</v>
      </c>
    </row>
    <row r="83" customFormat="false" ht="19.5" hidden="false" customHeight="true" outlineLevel="0" collapsed="false">
      <c r="A83" s="27"/>
      <c r="B83" s="28"/>
      <c r="C83" s="36" t="str">
        <f aca="false">IF(B83="","",TEXT(B83,"mmmm"))</f>
        <v/>
      </c>
      <c r="D83" s="30"/>
      <c r="E83" s="37" t="str">
        <f aca="false">IF(D83="","",D83*'Exchange Rate'!$E$5)</f>
        <v/>
      </c>
      <c r="F83" s="32"/>
      <c r="G83" s="38" t="str">
        <f aca="false">IF(F83="","",F83*'Exchange Rate'!$B$5)</f>
        <v/>
      </c>
      <c r="H83" s="38" t="n">
        <f aca="false">IF(L83="Inactive",0,IF(ISNUMBER(G83)*ISNUMBER(D83),IF(G83&gt;D83,G83-D83,0),0))</f>
        <v>0</v>
      </c>
      <c r="I83" s="37" t="n">
        <f aca="false">IF(L83="Inactive",0,IF(ISNUMBER(F83)*ISNUMBER(E83),IF(F83&gt;E83,F83-E83,0),0))</f>
        <v>0</v>
      </c>
      <c r="J83" s="38" t="n">
        <f aca="false">IF(L83="Inactive",0,IF(ISNUMBER(D83)*ISNUMBER(G83),IF(D83&gt;G83,D83-G83,0),0))</f>
        <v>0</v>
      </c>
      <c r="K83" s="37" t="n">
        <f aca="false">IF(L83="Inactive",0,IF(ISNUMBER(E83)*ISNUMBER(F83),IF(E83&gt;F83,E83-F83,0),0))</f>
        <v>0</v>
      </c>
      <c r="L83" s="34" t="s">
        <v>31</v>
      </c>
      <c r="M83" s="44"/>
      <c r="N83" s="44"/>
      <c r="O83" s="89"/>
      <c r="P83" s="92" t="n">
        <f aca="true">IFERROR(COUNTIFS('2. Mercari and Online store'!$A$8:$A$107,A83,'2. Mercari and Online store'!$B$8:$B$107,"&gt;="&amp;(TODAY()-28))/4,0)</f>
        <v>0</v>
      </c>
      <c r="Q83" s="93" t="str">
        <f aca="false">IFERROR(IF(P83=0,"∞",O83/P83),"—")</f>
        <v>∞</v>
      </c>
      <c r="R83" s="36" t="str">
        <f aca="true">IFERROR(IF(OR(P83=0,O83=""),"N/A",TEXT(TODAY()+(IFERROR(O83/P83,0)*7),"DD-MMM-YYYY")),"—")</f>
        <v>N/A</v>
      </c>
      <c r="S83" s="35" t="str">
        <f aca="false">IF(A83="","—",A83&amp;" ("&amp;TEXT(B83,"MM/DD/YYYY")&amp;")")</f>
        <v>—</v>
      </c>
    </row>
    <row r="84" customFormat="false" ht="19.5" hidden="false" customHeight="true" outlineLevel="0" collapsed="false">
      <c r="A84" s="27"/>
      <c r="B84" s="28"/>
      <c r="C84" s="29" t="str">
        <f aca="false">IF(B84="","",TEXT(B84,"mmmm"))</f>
        <v/>
      </c>
      <c r="D84" s="30"/>
      <c r="E84" s="31" t="str">
        <f aca="false">IF(D84="","",D84*'Exchange Rate'!$E$5)</f>
        <v/>
      </c>
      <c r="F84" s="32"/>
      <c r="G84" s="33" t="str">
        <f aca="false">IF(F84="","",F84*'Exchange Rate'!$B$5)</f>
        <v/>
      </c>
      <c r="H84" s="33" t="n">
        <f aca="false">IF(L84="Inactive",0,IF(ISNUMBER(G84)*ISNUMBER(D84),IF(G84&gt;D84,G84-D84,0),0))</f>
        <v>0</v>
      </c>
      <c r="I84" s="31" t="n">
        <f aca="false">IF(L84="Inactive",0,IF(ISNUMBER(F84)*ISNUMBER(E84),IF(F84&gt;E84,F84-E84,0),0))</f>
        <v>0</v>
      </c>
      <c r="J84" s="33" t="n">
        <f aca="false">IF(L84="Inactive",0,IF(ISNUMBER(D84)*ISNUMBER(G84),IF(D84&gt;G84,D84-G84,0),0))</f>
        <v>0</v>
      </c>
      <c r="K84" s="31" t="n">
        <f aca="false">IF(L84="Inactive",0,IF(ISNUMBER(E84)*ISNUMBER(F84),IF(E84&gt;F84,E84-F84,0),0))</f>
        <v>0</v>
      </c>
      <c r="L84" s="34" t="s">
        <v>31</v>
      </c>
      <c r="M84" s="44"/>
      <c r="N84" s="44"/>
      <c r="O84" s="89"/>
      <c r="P84" s="90" t="n">
        <f aca="true">IFERROR(COUNTIFS('2. Mercari and Online store'!$A$8:$A$107,A84,'2. Mercari and Online store'!$B$8:$B$107,"&gt;="&amp;(TODAY()-28))/4,0)</f>
        <v>0</v>
      </c>
      <c r="Q84" s="91" t="str">
        <f aca="false">IFERROR(IF(P84=0,"∞",O84/P84),"—")</f>
        <v>∞</v>
      </c>
      <c r="R84" s="29" t="str">
        <f aca="true">IFERROR(IF(OR(P84=0,O84=""),"N/A",TEXT(TODAY()+(IFERROR(O84/P84,0)*7),"DD-MMM-YYYY")),"—")</f>
        <v>N/A</v>
      </c>
      <c r="S84" s="35" t="str">
        <f aca="false">IF(A84="","—",A84&amp;" ("&amp;TEXT(B84,"MM/DD/YYYY")&amp;")")</f>
        <v>—</v>
      </c>
    </row>
    <row r="85" customFormat="false" ht="19.5" hidden="false" customHeight="true" outlineLevel="0" collapsed="false">
      <c r="A85" s="27"/>
      <c r="B85" s="28"/>
      <c r="C85" s="36" t="str">
        <f aca="false">IF(B85="","",TEXT(B85,"mmmm"))</f>
        <v/>
      </c>
      <c r="D85" s="30"/>
      <c r="E85" s="37" t="str">
        <f aca="false">IF(D85="","",D85*'Exchange Rate'!$E$5)</f>
        <v/>
      </c>
      <c r="F85" s="32"/>
      <c r="G85" s="38" t="str">
        <f aca="false">IF(F85="","",F85*'Exchange Rate'!$B$5)</f>
        <v/>
      </c>
      <c r="H85" s="38" t="n">
        <f aca="false">IF(L85="Inactive",0,IF(ISNUMBER(G85)*ISNUMBER(D85),IF(G85&gt;D85,G85-D85,0),0))</f>
        <v>0</v>
      </c>
      <c r="I85" s="37" t="n">
        <f aca="false">IF(L85="Inactive",0,IF(ISNUMBER(F85)*ISNUMBER(E85),IF(F85&gt;E85,F85-E85,0),0))</f>
        <v>0</v>
      </c>
      <c r="J85" s="38" t="n">
        <f aca="false">IF(L85="Inactive",0,IF(ISNUMBER(D85)*ISNUMBER(G85),IF(D85&gt;G85,D85-G85,0),0))</f>
        <v>0</v>
      </c>
      <c r="K85" s="37" t="n">
        <f aca="false">IF(L85="Inactive",0,IF(ISNUMBER(E85)*ISNUMBER(F85),IF(E85&gt;F85,E85-F85,0),0))</f>
        <v>0</v>
      </c>
      <c r="L85" s="34" t="s">
        <v>31</v>
      </c>
      <c r="M85" s="44"/>
      <c r="N85" s="44"/>
      <c r="O85" s="89"/>
      <c r="P85" s="92" t="n">
        <f aca="true">IFERROR(COUNTIFS('2. Mercari and Online store'!$A$8:$A$107,A85,'2. Mercari and Online store'!$B$8:$B$107,"&gt;="&amp;(TODAY()-28))/4,0)</f>
        <v>0</v>
      </c>
      <c r="Q85" s="93" t="str">
        <f aca="false">IFERROR(IF(P85=0,"∞",O85/P85),"—")</f>
        <v>∞</v>
      </c>
      <c r="R85" s="36" t="str">
        <f aca="true">IFERROR(IF(OR(P85=0,O85=""),"N/A",TEXT(TODAY()+(IFERROR(O85/P85,0)*7),"DD-MMM-YYYY")),"—")</f>
        <v>N/A</v>
      </c>
      <c r="S85" s="35" t="str">
        <f aca="false">IF(A85="","—",A85&amp;" ("&amp;TEXT(B85,"MM/DD/YYYY")&amp;")")</f>
        <v>—</v>
      </c>
    </row>
    <row r="86" customFormat="false" ht="19.5" hidden="false" customHeight="true" outlineLevel="0" collapsed="false">
      <c r="A86" s="27"/>
      <c r="B86" s="28"/>
      <c r="C86" s="29" t="str">
        <f aca="false">IF(B86="","",TEXT(B86,"mmmm"))</f>
        <v/>
      </c>
      <c r="D86" s="30"/>
      <c r="E86" s="31" t="str">
        <f aca="false">IF(D86="","",D86*'Exchange Rate'!$E$5)</f>
        <v/>
      </c>
      <c r="F86" s="32"/>
      <c r="G86" s="33" t="str">
        <f aca="false">IF(F86="","",F86*'Exchange Rate'!$B$5)</f>
        <v/>
      </c>
      <c r="H86" s="33" t="n">
        <f aca="false">IF(L86="Inactive",0,IF(ISNUMBER(G86)*ISNUMBER(D86),IF(G86&gt;D86,G86-D86,0),0))</f>
        <v>0</v>
      </c>
      <c r="I86" s="31" t="n">
        <f aca="false">IF(L86="Inactive",0,IF(ISNUMBER(F86)*ISNUMBER(E86),IF(F86&gt;E86,F86-E86,0),0))</f>
        <v>0</v>
      </c>
      <c r="J86" s="33" t="n">
        <f aca="false">IF(L86="Inactive",0,IF(ISNUMBER(D86)*ISNUMBER(G86),IF(D86&gt;G86,D86-G86,0),0))</f>
        <v>0</v>
      </c>
      <c r="K86" s="31" t="n">
        <f aca="false">IF(L86="Inactive",0,IF(ISNUMBER(E86)*ISNUMBER(F86),IF(E86&gt;F86,E86-F86,0),0))</f>
        <v>0</v>
      </c>
      <c r="L86" s="34" t="s">
        <v>31</v>
      </c>
      <c r="M86" s="44"/>
      <c r="N86" s="44"/>
      <c r="O86" s="89"/>
      <c r="P86" s="90" t="n">
        <f aca="true">IFERROR(COUNTIFS('2. Mercari and Online store'!$A$8:$A$107,A86,'2. Mercari and Online store'!$B$8:$B$107,"&gt;="&amp;(TODAY()-28))/4,0)</f>
        <v>0</v>
      </c>
      <c r="Q86" s="91" t="str">
        <f aca="false">IFERROR(IF(P86=0,"∞",O86/P86),"—")</f>
        <v>∞</v>
      </c>
      <c r="R86" s="29" t="str">
        <f aca="true">IFERROR(IF(OR(P86=0,O86=""),"N/A",TEXT(TODAY()+(IFERROR(O86/P86,0)*7),"DD-MMM-YYYY")),"—")</f>
        <v>N/A</v>
      </c>
      <c r="S86" s="35" t="str">
        <f aca="false">IF(A86="","—",A86&amp;" ("&amp;TEXT(B86,"MM/DD/YYYY")&amp;")")</f>
        <v>—</v>
      </c>
    </row>
    <row r="87" customFormat="false" ht="19.5" hidden="false" customHeight="true" outlineLevel="0" collapsed="false">
      <c r="A87" s="27"/>
      <c r="B87" s="28"/>
      <c r="C87" s="36" t="str">
        <f aca="false">IF(B87="","",TEXT(B87,"mmmm"))</f>
        <v/>
      </c>
      <c r="D87" s="30"/>
      <c r="E87" s="37" t="str">
        <f aca="false">IF(D87="","",D87*'Exchange Rate'!$E$5)</f>
        <v/>
      </c>
      <c r="F87" s="32"/>
      <c r="G87" s="38" t="str">
        <f aca="false">IF(F87="","",F87*'Exchange Rate'!$B$5)</f>
        <v/>
      </c>
      <c r="H87" s="38" t="n">
        <f aca="false">IF(L87="Inactive",0,IF(ISNUMBER(G87)*ISNUMBER(D87),IF(G87&gt;D87,G87-D87,0),0))</f>
        <v>0</v>
      </c>
      <c r="I87" s="37" t="n">
        <f aca="false">IF(L87="Inactive",0,IF(ISNUMBER(F87)*ISNUMBER(E87),IF(F87&gt;E87,F87-E87,0),0))</f>
        <v>0</v>
      </c>
      <c r="J87" s="38" t="n">
        <f aca="false">IF(L87="Inactive",0,IF(ISNUMBER(D87)*ISNUMBER(G87),IF(D87&gt;G87,D87-G87,0),0))</f>
        <v>0</v>
      </c>
      <c r="K87" s="37" t="n">
        <f aca="false">IF(L87="Inactive",0,IF(ISNUMBER(E87)*ISNUMBER(F87),IF(E87&gt;F87,E87-F87,0),0))</f>
        <v>0</v>
      </c>
      <c r="L87" s="34" t="s">
        <v>31</v>
      </c>
      <c r="M87" s="44"/>
      <c r="N87" s="44"/>
      <c r="O87" s="89"/>
      <c r="P87" s="92" t="n">
        <f aca="true">IFERROR(COUNTIFS('2. Mercari and Online store'!$A$8:$A$107,A87,'2. Mercari and Online store'!$B$8:$B$107,"&gt;="&amp;(TODAY()-28))/4,0)</f>
        <v>0</v>
      </c>
      <c r="Q87" s="93" t="str">
        <f aca="false">IFERROR(IF(P87=0,"∞",O87/P87),"—")</f>
        <v>∞</v>
      </c>
      <c r="R87" s="36" t="str">
        <f aca="true">IFERROR(IF(OR(P87=0,O87=""),"N/A",TEXT(TODAY()+(IFERROR(O87/P87,0)*7),"DD-MMM-YYYY")),"—")</f>
        <v>N/A</v>
      </c>
      <c r="S87" s="35" t="str">
        <f aca="false">IF(A87="","—",A87&amp;" ("&amp;TEXT(B87,"MM/DD/YYYY")&amp;")")</f>
        <v>—</v>
      </c>
    </row>
    <row r="88" customFormat="false" ht="19.5" hidden="false" customHeight="true" outlineLevel="0" collapsed="false">
      <c r="A88" s="27"/>
      <c r="B88" s="28"/>
      <c r="C88" s="29" t="str">
        <f aca="false">IF(B88="","",TEXT(B88,"mmmm"))</f>
        <v/>
      </c>
      <c r="D88" s="30"/>
      <c r="E88" s="31" t="str">
        <f aca="false">IF(D88="","",D88*'Exchange Rate'!$E$5)</f>
        <v/>
      </c>
      <c r="F88" s="32"/>
      <c r="G88" s="33" t="str">
        <f aca="false">IF(F88="","",F88*'Exchange Rate'!$B$5)</f>
        <v/>
      </c>
      <c r="H88" s="33" t="n">
        <f aca="false">IF(L88="Inactive",0,IF(ISNUMBER(G88)*ISNUMBER(D88),IF(G88&gt;D88,G88-D88,0),0))</f>
        <v>0</v>
      </c>
      <c r="I88" s="31" t="n">
        <f aca="false">IF(L88="Inactive",0,IF(ISNUMBER(F88)*ISNUMBER(E88),IF(F88&gt;E88,F88-E88,0),0))</f>
        <v>0</v>
      </c>
      <c r="J88" s="33" t="n">
        <f aca="false">IF(L88="Inactive",0,IF(ISNUMBER(D88)*ISNUMBER(G88),IF(D88&gt;G88,D88-G88,0),0))</f>
        <v>0</v>
      </c>
      <c r="K88" s="31" t="n">
        <f aca="false">IF(L88="Inactive",0,IF(ISNUMBER(E88)*ISNUMBER(F88),IF(E88&gt;F88,E88-F88,0),0))</f>
        <v>0</v>
      </c>
      <c r="L88" s="34" t="s">
        <v>31</v>
      </c>
      <c r="M88" s="44"/>
      <c r="N88" s="44"/>
      <c r="O88" s="89"/>
      <c r="P88" s="90" t="n">
        <f aca="true">IFERROR(COUNTIFS('2. Mercari and Online store'!$A$8:$A$107,A88,'2. Mercari and Online store'!$B$8:$B$107,"&gt;="&amp;(TODAY()-28))/4,0)</f>
        <v>0</v>
      </c>
      <c r="Q88" s="91" t="str">
        <f aca="false">IFERROR(IF(P88=0,"∞",O88/P88),"—")</f>
        <v>∞</v>
      </c>
      <c r="R88" s="29" t="str">
        <f aca="true">IFERROR(IF(OR(P88=0,O88=""),"N/A",TEXT(TODAY()+(IFERROR(O88/P88,0)*7),"DD-MMM-YYYY")),"—")</f>
        <v>N/A</v>
      </c>
      <c r="S88" s="35" t="str">
        <f aca="false">IF(A88="","—",A88&amp;" ("&amp;TEXT(B88,"MM/DD/YYYY")&amp;")")</f>
        <v>—</v>
      </c>
    </row>
    <row r="89" customFormat="false" ht="19.5" hidden="false" customHeight="true" outlineLevel="0" collapsed="false">
      <c r="A89" s="27"/>
      <c r="B89" s="28"/>
      <c r="C89" s="36" t="str">
        <f aca="false">IF(B89="","",TEXT(B89,"mmmm"))</f>
        <v/>
      </c>
      <c r="D89" s="30"/>
      <c r="E89" s="37" t="str">
        <f aca="false">IF(D89="","",D89*'Exchange Rate'!$E$5)</f>
        <v/>
      </c>
      <c r="F89" s="32"/>
      <c r="G89" s="38" t="str">
        <f aca="false">IF(F89="","",F89*'Exchange Rate'!$B$5)</f>
        <v/>
      </c>
      <c r="H89" s="38" t="n">
        <f aca="false">IF(L89="Inactive",0,IF(ISNUMBER(G89)*ISNUMBER(D89),IF(G89&gt;D89,G89-D89,0),0))</f>
        <v>0</v>
      </c>
      <c r="I89" s="37" t="n">
        <f aca="false">IF(L89="Inactive",0,IF(ISNUMBER(F89)*ISNUMBER(E89),IF(F89&gt;E89,F89-E89,0),0))</f>
        <v>0</v>
      </c>
      <c r="J89" s="38" t="n">
        <f aca="false">IF(L89="Inactive",0,IF(ISNUMBER(D89)*ISNUMBER(G89),IF(D89&gt;G89,D89-G89,0),0))</f>
        <v>0</v>
      </c>
      <c r="K89" s="37" t="n">
        <f aca="false">IF(L89="Inactive",0,IF(ISNUMBER(E89)*ISNUMBER(F89),IF(E89&gt;F89,E89-F89,0),0))</f>
        <v>0</v>
      </c>
      <c r="L89" s="34" t="s">
        <v>31</v>
      </c>
      <c r="M89" s="44"/>
      <c r="N89" s="44"/>
      <c r="O89" s="89"/>
      <c r="P89" s="92" t="n">
        <f aca="true">IFERROR(COUNTIFS('2. Mercari and Online store'!$A$8:$A$107,A89,'2. Mercari and Online store'!$B$8:$B$107,"&gt;="&amp;(TODAY()-28))/4,0)</f>
        <v>0</v>
      </c>
      <c r="Q89" s="93" t="str">
        <f aca="false">IFERROR(IF(P89=0,"∞",O89/P89),"—")</f>
        <v>∞</v>
      </c>
      <c r="R89" s="36" t="str">
        <f aca="true">IFERROR(IF(OR(P89=0,O89=""),"N/A",TEXT(TODAY()+(IFERROR(O89/P89,0)*7),"DD-MMM-YYYY")),"—")</f>
        <v>N/A</v>
      </c>
      <c r="S89" s="35" t="str">
        <f aca="false">IF(A89="","—",A89&amp;" ("&amp;TEXT(B89,"MM/DD/YYYY")&amp;")")</f>
        <v>—</v>
      </c>
    </row>
    <row r="90" customFormat="false" ht="19.5" hidden="false" customHeight="true" outlineLevel="0" collapsed="false">
      <c r="A90" s="27"/>
      <c r="B90" s="28"/>
      <c r="C90" s="29" t="str">
        <f aca="false">IF(B90="","",TEXT(B90,"mmmm"))</f>
        <v/>
      </c>
      <c r="D90" s="30"/>
      <c r="E90" s="31" t="str">
        <f aca="false">IF(D90="","",D90*'Exchange Rate'!$E$5)</f>
        <v/>
      </c>
      <c r="F90" s="32"/>
      <c r="G90" s="33" t="str">
        <f aca="false">IF(F90="","",F90*'Exchange Rate'!$B$5)</f>
        <v/>
      </c>
      <c r="H90" s="33" t="n">
        <f aca="false">IF(L90="Inactive",0,IF(ISNUMBER(G90)*ISNUMBER(D90),IF(G90&gt;D90,G90-D90,0),0))</f>
        <v>0</v>
      </c>
      <c r="I90" s="31" t="n">
        <f aca="false">IF(L90="Inactive",0,IF(ISNUMBER(F90)*ISNUMBER(E90),IF(F90&gt;E90,F90-E90,0),0))</f>
        <v>0</v>
      </c>
      <c r="J90" s="33" t="n">
        <f aca="false">IF(L90="Inactive",0,IF(ISNUMBER(D90)*ISNUMBER(G90),IF(D90&gt;G90,D90-G90,0),0))</f>
        <v>0</v>
      </c>
      <c r="K90" s="31" t="n">
        <f aca="false">IF(L90="Inactive",0,IF(ISNUMBER(E90)*ISNUMBER(F90),IF(E90&gt;F90,E90-F90,0),0))</f>
        <v>0</v>
      </c>
      <c r="L90" s="34" t="s">
        <v>31</v>
      </c>
      <c r="M90" s="44"/>
      <c r="N90" s="44"/>
      <c r="O90" s="89"/>
      <c r="P90" s="90" t="n">
        <f aca="true">IFERROR(COUNTIFS('2. Mercari and Online store'!$A$8:$A$107,A90,'2. Mercari and Online store'!$B$8:$B$107,"&gt;="&amp;(TODAY()-28))/4,0)</f>
        <v>0</v>
      </c>
      <c r="Q90" s="91" t="str">
        <f aca="false">IFERROR(IF(P90=0,"∞",O90/P90),"—")</f>
        <v>∞</v>
      </c>
      <c r="R90" s="29" t="str">
        <f aca="true">IFERROR(IF(OR(P90=0,O90=""),"N/A",TEXT(TODAY()+(IFERROR(O90/P90,0)*7),"DD-MMM-YYYY")),"—")</f>
        <v>N/A</v>
      </c>
      <c r="S90" s="35" t="str">
        <f aca="false">IF(A90="","—",A90&amp;" ("&amp;TEXT(B90,"MM/DD/YYYY")&amp;")")</f>
        <v>—</v>
      </c>
    </row>
    <row r="91" customFormat="false" ht="19.5" hidden="false" customHeight="true" outlineLevel="0" collapsed="false">
      <c r="A91" s="27"/>
      <c r="B91" s="28"/>
      <c r="C91" s="36" t="str">
        <f aca="false">IF(B91="","",TEXT(B91,"mmmm"))</f>
        <v/>
      </c>
      <c r="D91" s="30"/>
      <c r="E91" s="37" t="str">
        <f aca="false">IF(D91="","",D91*'Exchange Rate'!$E$5)</f>
        <v/>
      </c>
      <c r="F91" s="32"/>
      <c r="G91" s="38" t="str">
        <f aca="false">IF(F91="","",F91*'Exchange Rate'!$B$5)</f>
        <v/>
      </c>
      <c r="H91" s="38" t="n">
        <f aca="false">IF(L91="Inactive",0,IF(ISNUMBER(G91)*ISNUMBER(D91),IF(G91&gt;D91,G91-D91,0),0))</f>
        <v>0</v>
      </c>
      <c r="I91" s="37" t="n">
        <f aca="false">IF(L91="Inactive",0,IF(ISNUMBER(F91)*ISNUMBER(E91),IF(F91&gt;E91,F91-E91,0),0))</f>
        <v>0</v>
      </c>
      <c r="J91" s="38" t="n">
        <f aca="false">IF(L91="Inactive",0,IF(ISNUMBER(D91)*ISNUMBER(G91),IF(D91&gt;G91,D91-G91,0),0))</f>
        <v>0</v>
      </c>
      <c r="K91" s="37" t="n">
        <f aca="false">IF(L91="Inactive",0,IF(ISNUMBER(E91)*ISNUMBER(F91),IF(E91&gt;F91,E91-F91,0),0))</f>
        <v>0</v>
      </c>
      <c r="L91" s="34" t="s">
        <v>31</v>
      </c>
      <c r="M91" s="44"/>
      <c r="N91" s="44"/>
      <c r="O91" s="89"/>
      <c r="P91" s="92" t="n">
        <f aca="true">IFERROR(COUNTIFS('2. Mercari and Online store'!$A$8:$A$107,A91,'2. Mercari and Online store'!$B$8:$B$107,"&gt;="&amp;(TODAY()-28))/4,0)</f>
        <v>0</v>
      </c>
      <c r="Q91" s="93" t="str">
        <f aca="false">IFERROR(IF(P91=0,"∞",O91/P91),"—")</f>
        <v>∞</v>
      </c>
      <c r="R91" s="36" t="str">
        <f aca="true">IFERROR(IF(OR(P91=0,O91=""),"N/A",TEXT(TODAY()+(IFERROR(O91/P91,0)*7),"DD-MMM-YYYY")),"—")</f>
        <v>N/A</v>
      </c>
      <c r="S91" s="35" t="str">
        <f aca="false">IF(A91="","—",A91&amp;" ("&amp;TEXT(B91,"MM/DD/YYYY")&amp;")")</f>
        <v>—</v>
      </c>
    </row>
    <row r="92" customFormat="false" ht="19.5" hidden="false" customHeight="true" outlineLevel="0" collapsed="false">
      <c r="A92" s="27"/>
      <c r="B92" s="28"/>
      <c r="C92" s="29" t="str">
        <f aca="false">IF(B92="","",TEXT(B92,"mmmm"))</f>
        <v/>
      </c>
      <c r="D92" s="30"/>
      <c r="E92" s="31" t="str">
        <f aca="false">IF(D92="","",D92*'Exchange Rate'!$E$5)</f>
        <v/>
      </c>
      <c r="F92" s="32"/>
      <c r="G92" s="33" t="str">
        <f aca="false">IF(F92="","",F92*'Exchange Rate'!$B$5)</f>
        <v/>
      </c>
      <c r="H92" s="33" t="n">
        <f aca="false">IF(L92="Inactive",0,IF(ISNUMBER(G92)*ISNUMBER(D92),IF(G92&gt;D92,G92-D92,0),0))</f>
        <v>0</v>
      </c>
      <c r="I92" s="31" t="n">
        <f aca="false">IF(L92="Inactive",0,IF(ISNUMBER(F92)*ISNUMBER(E92),IF(F92&gt;E92,F92-E92,0),0))</f>
        <v>0</v>
      </c>
      <c r="J92" s="33" t="n">
        <f aca="false">IF(L92="Inactive",0,IF(ISNUMBER(D92)*ISNUMBER(G92),IF(D92&gt;G92,D92-G92,0),0))</f>
        <v>0</v>
      </c>
      <c r="K92" s="31" t="n">
        <f aca="false">IF(L92="Inactive",0,IF(ISNUMBER(E92)*ISNUMBER(F92),IF(E92&gt;F92,E92-F92,0),0))</f>
        <v>0</v>
      </c>
      <c r="L92" s="34" t="s">
        <v>31</v>
      </c>
      <c r="M92" s="44"/>
      <c r="N92" s="44"/>
      <c r="O92" s="89"/>
      <c r="P92" s="90" t="n">
        <f aca="true">IFERROR(COUNTIFS('2. Mercari and Online store'!$A$8:$A$107,A92,'2. Mercari and Online store'!$B$8:$B$107,"&gt;="&amp;(TODAY()-28))/4,0)</f>
        <v>0</v>
      </c>
      <c r="Q92" s="91" t="str">
        <f aca="false">IFERROR(IF(P92=0,"∞",O92/P92),"—")</f>
        <v>∞</v>
      </c>
      <c r="R92" s="29" t="str">
        <f aca="true">IFERROR(IF(OR(P92=0,O92=""),"N/A",TEXT(TODAY()+(IFERROR(O92/P92,0)*7),"DD-MMM-YYYY")),"—")</f>
        <v>N/A</v>
      </c>
      <c r="S92" s="35" t="str">
        <f aca="false">IF(A92="","—",A92&amp;" ("&amp;TEXT(B92,"MM/DD/YYYY")&amp;")")</f>
        <v>—</v>
      </c>
    </row>
    <row r="93" customFormat="false" ht="19.5" hidden="false" customHeight="true" outlineLevel="0" collapsed="false">
      <c r="A93" s="27"/>
      <c r="B93" s="28"/>
      <c r="C93" s="36" t="str">
        <f aca="false">IF(B93="","",TEXT(B93,"mmmm"))</f>
        <v/>
      </c>
      <c r="D93" s="30"/>
      <c r="E93" s="37" t="str">
        <f aca="false">IF(D93="","",D93*'Exchange Rate'!$E$5)</f>
        <v/>
      </c>
      <c r="F93" s="32"/>
      <c r="G93" s="38" t="str">
        <f aca="false">IF(F93="","",F93*'Exchange Rate'!$B$5)</f>
        <v/>
      </c>
      <c r="H93" s="38" t="n">
        <f aca="false">IF(L93="Inactive",0,IF(ISNUMBER(G93)*ISNUMBER(D93),IF(G93&gt;D93,G93-D93,0),0))</f>
        <v>0</v>
      </c>
      <c r="I93" s="37" t="n">
        <f aca="false">IF(L93="Inactive",0,IF(ISNUMBER(F93)*ISNUMBER(E93),IF(F93&gt;E93,F93-E93,0),0))</f>
        <v>0</v>
      </c>
      <c r="J93" s="38" t="n">
        <f aca="false">IF(L93="Inactive",0,IF(ISNUMBER(D93)*ISNUMBER(G93),IF(D93&gt;G93,D93-G93,0),0))</f>
        <v>0</v>
      </c>
      <c r="K93" s="37" t="n">
        <f aca="false">IF(L93="Inactive",0,IF(ISNUMBER(E93)*ISNUMBER(F93),IF(E93&gt;F93,E93-F93,0),0))</f>
        <v>0</v>
      </c>
      <c r="L93" s="34" t="s">
        <v>31</v>
      </c>
      <c r="M93" s="44"/>
      <c r="N93" s="44"/>
      <c r="O93" s="89"/>
      <c r="P93" s="92" t="n">
        <f aca="true">IFERROR(COUNTIFS('2. Mercari and Online store'!$A$8:$A$107,A93,'2. Mercari and Online store'!$B$8:$B$107,"&gt;="&amp;(TODAY()-28))/4,0)</f>
        <v>0</v>
      </c>
      <c r="Q93" s="93" t="str">
        <f aca="false">IFERROR(IF(P93=0,"∞",O93/P93),"—")</f>
        <v>∞</v>
      </c>
      <c r="R93" s="36" t="str">
        <f aca="true">IFERROR(IF(OR(P93=0,O93=""),"N/A",TEXT(TODAY()+(IFERROR(O93/P93,0)*7),"DD-MMM-YYYY")),"—")</f>
        <v>N/A</v>
      </c>
      <c r="S93" s="35" t="str">
        <f aca="false">IF(A93="","—",A93&amp;" ("&amp;TEXT(B93,"MM/DD/YYYY")&amp;")")</f>
        <v>—</v>
      </c>
    </row>
    <row r="94" customFormat="false" ht="19.5" hidden="false" customHeight="true" outlineLevel="0" collapsed="false">
      <c r="A94" s="27"/>
      <c r="B94" s="28"/>
      <c r="C94" s="29" t="str">
        <f aca="false">IF(B94="","",TEXT(B94,"mmmm"))</f>
        <v/>
      </c>
      <c r="D94" s="30"/>
      <c r="E94" s="31" t="str">
        <f aca="false">IF(D94="","",D94*'Exchange Rate'!$E$5)</f>
        <v/>
      </c>
      <c r="F94" s="32"/>
      <c r="G94" s="33" t="str">
        <f aca="false">IF(F94="","",F94*'Exchange Rate'!$B$5)</f>
        <v/>
      </c>
      <c r="H94" s="33" t="n">
        <f aca="false">IF(L94="Inactive",0,IF(ISNUMBER(G94)*ISNUMBER(D94),IF(G94&gt;D94,G94-D94,0),0))</f>
        <v>0</v>
      </c>
      <c r="I94" s="31" t="n">
        <f aca="false">IF(L94="Inactive",0,IF(ISNUMBER(F94)*ISNUMBER(E94),IF(F94&gt;E94,F94-E94,0),0))</f>
        <v>0</v>
      </c>
      <c r="J94" s="33" t="n">
        <f aca="false">IF(L94="Inactive",0,IF(ISNUMBER(D94)*ISNUMBER(G94),IF(D94&gt;G94,D94-G94,0),0))</f>
        <v>0</v>
      </c>
      <c r="K94" s="31" t="n">
        <f aca="false">IF(L94="Inactive",0,IF(ISNUMBER(E94)*ISNUMBER(F94),IF(E94&gt;F94,E94-F94,0),0))</f>
        <v>0</v>
      </c>
      <c r="L94" s="34" t="s">
        <v>31</v>
      </c>
      <c r="M94" s="44"/>
      <c r="N94" s="44"/>
      <c r="O94" s="89"/>
      <c r="P94" s="90" t="n">
        <f aca="true">IFERROR(COUNTIFS('2. Mercari and Online store'!$A$8:$A$107,A94,'2. Mercari and Online store'!$B$8:$B$107,"&gt;="&amp;(TODAY()-28))/4,0)</f>
        <v>0</v>
      </c>
      <c r="Q94" s="91" t="str">
        <f aca="false">IFERROR(IF(P94=0,"∞",O94/P94),"—")</f>
        <v>∞</v>
      </c>
      <c r="R94" s="29" t="str">
        <f aca="true">IFERROR(IF(OR(P94=0,O94=""),"N/A",TEXT(TODAY()+(IFERROR(O94/P94,0)*7),"DD-MMM-YYYY")),"—")</f>
        <v>N/A</v>
      </c>
      <c r="S94" s="35" t="str">
        <f aca="false">IF(A94="","—",A94&amp;" ("&amp;TEXT(B94,"MM/DD/YYYY")&amp;")")</f>
        <v>—</v>
      </c>
    </row>
    <row r="95" customFormat="false" ht="19.5" hidden="false" customHeight="true" outlineLevel="0" collapsed="false">
      <c r="A95" s="27"/>
      <c r="B95" s="28"/>
      <c r="C95" s="36" t="str">
        <f aca="false">IF(B95="","",TEXT(B95,"mmmm"))</f>
        <v/>
      </c>
      <c r="D95" s="30"/>
      <c r="E95" s="37" t="str">
        <f aca="false">IF(D95="","",D95*'Exchange Rate'!$E$5)</f>
        <v/>
      </c>
      <c r="F95" s="32"/>
      <c r="G95" s="38" t="str">
        <f aca="false">IF(F95="","",F95*'Exchange Rate'!$B$5)</f>
        <v/>
      </c>
      <c r="H95" s="38" t="n">
        <f aca="false">IF(L95="Inactive",0,IF(ISNUMBER(G95)*ISNUMBER(D95),IF(G95&gt;D95,G95-D95,0),0))</f>
        <v>0</v>
      </c>
      <c r="I95" s="37" t="n">
        <f aca="false">IF(L95="Inactive",0,IF(ISNUMBER(F95)*ISNUMBER(E95),IF(F95&gt;E95,F95-E95,0),0))</f>
        <v>0</v>
      </c>
      <c r="J95" s="38" t="n">
        <f aca="false">IF(L95="Inactive",0,IF(ISNUMBER(D95)*ISNUMBER(G95),IF(D95&gt;G95,D95-G95,0),0))</f>
        <v>0</v>
      </c>
      <c r="K95" s="37" t="n">
        <f aca="false">IF(L95="Inactive",0,IF(ISNUMBER(E95)*ISNUMBER(F95),IF(E95&gt;F95,E95-F95,0),0))</f>
        <v>0</v>
      </c>
      <c r="L95" s="34" t="s">
        <v>31</v>
      </c>
      <c r="M95" s="44"/>
      <c r="N95" s="44"/>
      <c r="O95" s="89"/>
      <c r="P95" s="92" t="n">
        <f aca="true">IFERROR(COUNTIFS('2. Mercari and Online store'!$A$8:$A$107,A95,'2. Mercari and Online store'!$B$8:$B$107,"&gt;="&amp;(TODAY()-28))/4,0)</f>
        <v>0</v>
      </c>
      <c r="Q95" s="93" t="str">
        <f aca="false">IFERROR(IF(P95=0,"∞",O95/P95),"—")</f>
        <v>∞</v>
      </c>
      <c r="R95" s="36" t="str">
        <f aca="true">IFERROR(IF(OR(P95=0,O95=""),"N/A",TEXT(TODAY()+(IFERROR(O95/P95,0)*7),"DD-MMM-YYYY")),"—")</f>
        <v>N/A</v>
      </c>
      <c r="S95" s="35" t="str">
        <f aca="false">IF(A95="","—",A95&amp;" ("&amp;TEXT(B95,"MM/DD/YYYY")&amp;")")</f>
        <v>—</v>
      </c>
    </row>
    <row r="96" customFormat="false" ht="19.5" hidden="false" customHeight="true" outlineLevel="0" collapsed="false">
      <c r="A96" s="27"/>
      <c r="B96" s="28"/>
      <c r="C96" s="29" t="str">
        <f aca="false">IF(B96="","",TEXT(B96,"mmmm"))</f>
        <v/>
      </c>
      <c r="D96" s="30"/>
      <c r="E96" s="31" t="str">
        <f aca="false">IF(D96="","",D96*'Exchange Rate'!$E$5)</f>
        <v/>
      </c>
      <c r="F96" s="32"/>
      <c r="G96" s="33" t="str">
        <f aca="false">IF(F96="","",F96*'Exchange Rate'!$B$5)</f>
        <v/>
      </c>
      <c r="H96" s="33" t="n">
        <f aca="false">IF(L96="Inactive",0,IF(ISNUMBER(G96)*ISNUMBER(D96),IF(G96&gt;D96,G96-D96,0),0))</f>
        <v>0</v>
      </c>
      <c r="I96" s="31" t="n">
        <f aca="false">IF(L96="Inactive",0,IF(ISNUMBER(F96)*ISNUMBER(E96),IF(F96&gt;E96,F96-E96,0),0))</f>
        <v>0</v>
      </c>
      <c r="J96" s="33" t="n">
        <f aca="false">IF(L96="Inactive",0,IF(ISNUMBER(D96)*ISNUMBER(G96),IF(D96&gt;G96,D96-G96,0),0))</f>
        <v>0</v>
      </c>
      <c r="K96" s="31" t="n">
        <f aca="false">IF(L96="Inactive",0,IF(ISNUMBER(E96)*ISNUMBER(F96),IF(E96&gt;F96,E96-F96,0),0))</f>
        <v>0</v>
      </c>
      <c r="L96" s="34" t="s">
        <v>31</v>
      </c>
      <c r="M96" s="44"/>
      <c r="N96" s="44"/>
      <c r="O96" s="89"/>
      <c r="P96" s="90" t="n">
        <f aca="true">IFERROR(COUNTIFS('2. Mercari and Online store'!$A$8:$A$107,A96,'2. Mercari and Online store'!$B$8:$B$107,"&gt;="&amp;(TODAY()-28))/4,0)</f>
        <v>0</v>
      </c>
      <c r="Q96" s="91" t="str">
        <f aca="false">IFERROR(IF(P96=0,"∞",O96/P96),"—")</f>
        <v>∞</v>
      </c>
      <c r="R96" s="29" t="str">
        <f aca="true">IFERROR(IF(OR(P96=0,O96=""),"N/A",TEXT(TODAY()+(IFERROR(O96/P96,0)*7),"DD-MMM-YYYY")),"—")</f>
        <v>N/A</v>
      </c>
      <c r="S96" s="35" t="str">
        <f aca="false">IF(A96="","—",A96&amp;" ("&amp;TEXT(B96,"MM/DD/YYYY")&amp;")")</f>
        <v>—</v>
      </c>
    </row>
    <row r="97" customFormat="false" ht="19.5" hidden="false" customHeight="true" outlineLevel="0" collapsed="false">
      <c r="A97" s="27"/>
      <c r="B97" s="28"/>
      <c r="C97" s="36" t="str">
        <f aca="false">IF(B97="","",TEXT(B97,"mmmm"))</f>
        <v/>
      </c>
      <c r="D97" s="30"/>
      <c r="E97" s="37" t="str">
        <f aca="false">IF(D97="","",D97*'Exchange Rate'!$E$5)</f>
        <v/>
      </c>
      <c r="F97" s="32"/>
      <c r="G97" s="38" t="str">
        <f aca="false">IF(F97="","",F97*'Exchange Rate'!$B$5)</f>
        <v/>
      </c>
      <c r="H97" s="38" t="n">
        <f aca="false">IF(L97="Inactive",0,IF(ISNUMBER(G97)*ISNUMBER(D97),IF(G97&gt;D97,G97-D97,0),0))</f>
        <v>0</v>
      </c>
      <c r="I97" s="37" t="n">
        <f aca="false">IF(L97="Inactive",0,IF(ISNUMBER(F97)*ISNUMBER(E97),IF(F97&gt;E97,F97-E97,0),0))</f>
        <v>0</v>
      </c>
      <c r="J97" s="38" t="n">
        <f aca="false">IF(L97="Inactive",0,IF(ISNUMBER(D97)*ISNUMBER(G97),IF(D97&gt;G97,D97-G97,0),0))</f>
        <v>0</v>
      </c>
      <c r="K97" s="37" t="n">
        <f aca="false">IF(L97="Inactive",0,IF(ISNUMBER(E97)*ISNUMBER(F97),IF(E97&gt;F97,E97-F97,0),0))</f>
        <v>0</v>
      </c>
      <c r="L97" s="34" t="s">
        <v>31</v>
      </c>
      <c r="M97" s="44"/>
      <c r="N97" s="44"/>
      <c r="O97" s="89"/>
      <c r="P97" s="92" t="n">
        <f aca="true">IFERROR(COUNTIFS('2. Mercari and Online store'!$A$8:$A$107,A97,'2. Mercari and Online store'!$B$8:$B$107,"&gt;="&amp;(TODAY()-28))/4,0)</f>
        <v>0</v>
      </c>
      <c r="Q97" s="93" t="str">
        <f aca="false">IFERROR(IF(P97=0,"∞",O97/P97),"—")</f>
        <v>∞</v>
      </c>
      <c r="R97" s="36" t="str">
        <f aca="true">IFERROR(IF(OR(P97=0,O97=""),"N/A",TEXT(TODAY()+(IFERROR(O97/P97,0)*7),"DD-MMM-YYYY")),"—")</f>
        <v>N/A</v>
      </c>
      <c r="S97" s="35" t="str">
        <f aca="false">IF(A97="","—",A97&amp;" ("&amp;TEXT(B97,"MM/DD/YYYY")&amp;")")</f>
        <v>—</v>
      </c>
    </row>
    <row r="98" customFormat="false" ht="19.5" hidden="false" customHeight="true" outlineLevel="0" collapsed="false">
      <c r="A98" s="27"/>
      <c r="B98" s="28"/>
      <c r="C98" s="29" t="str">
        <f aca="false">IF(B98="","",TEXT(B98,"mmmm"))</f>
        <v/>
      </c>
      <c r="D98" s="30"/>
      <c r="E98" s="31" t="str">
        <f aca="false">IF(D98="","",D98*'Exchange Rate'!$E$5)</f>
        <v/>
      </c>
      <c r="F98" s="32"/>
      <c r="G98" s="33" t="str">
        <f aca="false">IF(F98="","",F98*'Exchange Rate'!$B$5)</f>
        <v/>
      </c>
      <c r="H98" s="33" t="n">
        <f aca="false">IF(L98="Inactive",0,IF(ISNUMBER(G98)*ISNUMBER(D98),IF(G98&gt;D98,G98-D98,0),0))</f>
        <v>0</v>
      </c>
      <c r="I98" s="31" t="n">
        <f aca="false">IF(L98="Inactive",0,IF(ISNUMBER(F98)*ISNUMBER(E98),IF(F98&gt;E98,F98-E98,0),0))</f>
        <v>0</v>
      </c>
      <c r="J98" s="33" t="n">
        <f aca="false">IF(L98="Inactive",0,IF(ISNUMBER(D98)*ISNUMBER(G98),IF(D98&gt;G98,D98-G98,0),0))</f>
        <v>0</v>
      </c>
      <c r="K98" s="31" t="n">
        <f aca="false">IF(L98="Inactive",0,IF(ISNUMBER(E98)*ISNUMBER(F98),IF(E98&gt;F98,E98-F98,0),0))</f>
        <v>0</v>
      </c>
      <c r="L98" s="34" t="s">
        <v>31</v>
      </c>
      <c r="M98" s="44"/>
      <c r="N98" s="44"/>
      <c r="O98" s="89"/>
      <c r="P98" s="90" t="n">
        <f aca="true">IFERROR(COUNTIFS('2. Mercari and Online store'!$A$8:$A$107,A98,'2. Mercari and Online store'!$B$8:$B$107,"&gt;="&amp;(TODAY()-28))/4,0)</f>
        <v>0</v>
      </c>
      <c r="Q98" s="91" t="str">
        <f aca="false">IFERROR(IF(P98=0,"∞",O98/P98),"—")</f>
        <v>∞</v>
      </c>
      <c r="R98" s="29" t="str">
        <f aca="true">IFERROR(IF(OR(P98=0,O98=""),"N/A",TEXT(TODAY()+(IFERROR(O98/P98,0)*7),"DD-MMM-YYYY")),"—")</f>
        <v>N/A</v>
      </c>
      <c r="S98" s="35" t="str">
        <f aca="false">IF(A98="","—",A98&amp;" ("&amp;TEXT(B98,"MM/DD/YYYY")&amp;")")</f>
        <v>—</v>
      </c>
    </row>
    <row r="99" customFormat="false" ht="19.5" hidden="false" customHeight="true" outlineLevel="0" collapsed="false">
      <c r="A99" s="27"/>
      <c r="B99" s="28"/>
      <c r="C99" s="36" t="str">
        <f aca="false">IF(B99="","",TEXT(B99,"mmmm"))</f>
        <v/>
      </c>
      <c r="D99" s="30"/>
      <c r="E99" s="37" t="str">
        <f aca="false">IF(D99="","",D99*'Exchange Rate'!$E$5)</f>
        <v/>
      </c>
      <c r="F99" s="32"/>
      <c r="G99" s="38" t="str">
        <f aca="false">IF(F99="","",F99*'Exchange Rate'!$B$5)</f>
        <v/>
      </c>
      <c r="H99" s="38" t="n">
        <f aca="false">IF(L99="Inactive",0,IF(ISNUMBER(G99)*ISNUMBER(D99),IF(G99&gt;D99,G99-D99,0),0))</f>
        <v>0</v>
      </c>
      <c r="I99" s="37" t="n">
        <f aca="false">IF(L99="Inactive",0,IF(ISNUMBER(F99)*ISNUMBER(E99),IF(F99&gt;E99,F99-E99,0),0))</f>
        <v>0</v>
      </c>
      <c r="J99" s="38" t="n">
        <f aca="false">IF(L99="Inactive",0,IF(ISNUMBER(D99)*ISNUMBER(G99),IF(D99&gt;G99,D99-G99,0),0))</f>
        <v>0</v>
      </c>
      <c r="K99" s="37" t="n">
        <f aca="false">IF(L99="Inactive",0,IF(ISNUMBER(E99)*ISNUMBER(F99),IF(E99&gt;F99,E99-F99,0),0))</f>
        <v>0</v>
      </c>
      <c r="L99" s="34" t="s">
        <v>31</v>
      </c>
      <c r="M99" s="44"/>
      <c r="N99" s="44"/>
      <c r="O99" s="89"/>
      <c r="P99" s="92" t="n">
        <f aca="true">IFERROR(COUNTIFS('2. Mercari and Online store'!$A$8:$A$107,A99,'2. Mercari and Online store'!$B$8:$B$107,"&gt;="&amp;(TODAY()-28))/4,0)</f>
        <v>0</v>
      </c>
      <c r="Q99" s="93" t="str">
        <f aca="false">IFERROR(IF(P99=0,"∞",O99/P99),"—")</f>
        <v>∞</v>
      </c>
      <c r="R99" s="36" t="str">
        <f aca="true">IFERROR(IF(OR(P99=0,O99=""),"N/A",TEXT(TODAY()+(IFERROR(O99/P99,0)*7),"DD-MMM-YYYY")),"—")</f>
        <v>N/A</v>
      </c>
      <c r="S99" s="35" t="str">
        <f aca="false">IF(A99="","—",A99&amp;" ("&amp;TEXT(B99,"MM/DD/YYYY")&amp;")")</f>
        <v>—</v>
      </c>
    </row>
    <row r="100" customFormat="false" ht="19.5" hidden="false" customHeight="true" outlineLevel="0" collapsed="false">
      <c r="A100" s="27"/>
      <c r="B100" s="28"/>
      <c r="C100" s="29" t="str">
        <f aca="false">IF(B100="","",TEXT(B100,"mmmm"))</f>
        <v/>
      </c>
      <c r="D100" s="30"/>
      <c r="E100" s="31" t="str">
        <f aca="false">IF(D100="","",D100*'Exchange Rate'!$E$5)</f>
        <v/>
      </c>
      <c r="F100" s="32"/>
      <c r="G100" s="33" t="str">
        <f aca="false">IF(F100="","",F100*'Exchange Rate'!$B$5)</f>
        <v/>
      </c>
      <c r="H100" s="33" t="n">
        <f aca="false">IF(L100="Inactive",0,IF(ISNUMBER(G100)*ISNUMBER(D100),IF(G100&gt;D100,G100-D100,0),0))</f>
        <v>0</v>
      </c>
      <c r="I100" s="31" t="n">
        <f aca="false">IF(L100="Inactive",0,IF(ISNUMBER(F100)*ISNUMBER(E100),IF(F100&gt;E100,F100-E100,0),0))</f>
        <v>0</v>
      </c>
      <c r="J100" s="33" t="n">
        <f aca="false">IF(L100="Inactive",0,IF(ISNUMBER(D100)*ISNUMBER(G100),IF(D100&gt;G100,D100-G100,0),0))</f>
        <v>0</v>
      </c>
      <c r="K100" s="31" t="n">
        <f aca="false">IF(L100="Inactive",0,IF(ISNUMBER(E100)*ISNUMBER(F100),IF(E100&gt;F100,E100-F100,0),0))</f>
        <v>0</v>
      </c>
      <c r="L100" s="34" t="s">
        <v>31</v>
      </c>
      <c r="M100" s="44"/>
      <c r="N100" s="44"/>
      <c r="O100" s="89"/>
      <c r="P100" s="90" t="n">
        <f aca="true">IFERROR(COUNTIFS('2. Mercari and Online store'!$A$8:$A$107,A100,'2. Mercari and Online store'!$B$8:$B$107,"&gt;="&amp;(TODAY()-28))/4,0)</f>
        <v>0</v>
      </c>
      <c r="Q100" s="91" t="str">
        <f aca="false">IFERROR(IF(P100=0,"∞",O100/P100),"—")</f>
        <v>∞</v>
      </c>
      <c r="R100" s="29" t="str">
        <f aca="true">IFERROR(IF(OR(P100=0,O100=""),"N/A",TEXT(TODAY()+(IFERROR(O100/P100,0)*7),"DD-MMM-YYYY")),"—")</f>
        <v>N/A</v>
      </c>
      <c r="S100" s="35" t="str">
        <f aca="false">IF(A100="","—",A100&amp;" ("&amp;TEXT(B100,"MM/DD/YYYY")&amp;")")</f>
        <v>—</v>
      </c>
    </row>
    <row r="101" customFormat="false" ht="19.5" hidden="false" customHeight="true" outlineLevel="0" collapsed="false">
      <c r="A101" s="27"/>
      <c r="B101" s="28"/>
      <c r="C101" s="36" t="str">
        <f aca="false">IF(B101="","",TEXT(B101,"mmmm"))</f>
        <v/>
      </c>
      <c r="D101" s="30"/>
      <c r="E101" s="37" t="str">
        <f aca="false">IF(D101="","",D101*'Exchange Rate'!$E$5)</f>
        <v/>
      </c>
      <c r="F101" s="32"/>
      <c r="G101" s="38" t="str">
        <f aca="false">IF(F101="","",F101*'Exchange Rate'!$B$5)</f>
        <v/>
      </c>
      <c r="H101" s="38" t="n">
        <f aca="false">IF(L101="Inactive",0,IF(ISNUMBER(G101)*ISNUMBER(D101),IF(G101&gt;D101,G101-D101,0),0))</f>
        <v>0</v>
      </c>
      <c r="I101" s="37" t="n">
        <f aca="false">IF(L101="Inactive",0,IF(ISNUMBER(F101)*ISNUMBER(E101),IF(F101&gt;E101,F101-E101,0),0))</f>
        <v>0</v>
      </c>
      <c r="J101" s="38" t="n">
        <f aca="false">IF(L101="Inactive",0,IF(ISNUMBER(D101)*ISNUMBER(G101),IF(D101&gt;G101,D101-G101,0),0))</f>
        <v>0</v>
      </c>
      <c r="K101" s="37" t="n">
        <f aca="false">IF(L101="Inactive",0,IF(ISNUMBER(E101)*ISNUMBER(F101),IF(E101&gt;F101,E101-F101,0),0))</f>
        <v>0</v>
      </c>
      <c r="L101" s="34" t="s">
        <v>31</v>
      </c>
      <c r="M101" s="44"/>
      <c r="N101" s="44"/>
      <c r="O101" s="89"/>
      <c r="P101" s="92" t="n">
        <f aca="true">IFERROR(COUNTIFS('2. Mercari and Online store'!$A$8:$A$107,A101,'2. Mercari and Online store'!$B$8:$B$107,"&gt;="&amp;(TODAY()-28))/4,0)</f>
        <v>0</v>
      </c>
      <c r="Q101" s="93" t="str">
        <f aca="false">IFERROR(IF(P101=0,"∞",O101/P101),"—")</f>
        <v>∞</v>
      </c>
      <c r="R101" s="36" t="str">
        <f aca="true">IFERROR(IF(OR(P101=0,O101=""),"N/A",TEXT(TODAY()+(IFERROR(O101/P101,0)*7),"DD-MMM-YYYY")),"—")</f>
        <v>N/A</v>
      </c>
      <c r="S101" s="35" t="str">
        <f aca="false">IF(A101="","—",A101&amp;" ("&amp;TEXT(B101,"MM/DD/YYYY")&amp;")")</f>
        <v>—</v>
      </c>
    </row>
    <row r="102" customFormat="false" ht="19.5" hidden="false" customHeight="true" outlineLevel="0" collapsed="false">
      <c r="A102" s="27"/>
      <c r="B102" s="28"/>
      <c r="C102" s="29" t="str">
        <f aca="false">IF(B102="","",TEXT(B102,"mmmm"))</f>
        <v/>
      </c>
      <c r="D102" s="30"/>
      <c r="E102" s="31" t="str">
        <f aca="false">IF(D102="","",D102*'Exchange Rate'!$E$5)</f>
        <v/>
      </c>
      <c r="F102" s="32"/>
      <c r="G102" s="33" t="str">
        <f aca="false">IF(F102="","",F102*'Exchange Rate'!$B$5)</f>
        <v/>
      </c>
      <c r="H102" s="33" t="n">
        <f aca="false">IF(L102="Inactive",0,IF(ISNUMBER(G102)*ISNUMBER(D102),IF(G102&gt;D102,G102-D102,0),0))</f>
        <v>0</v>
      </c>
      <c r="I102" s="31" t="n">
        <f aca="false">IF(L102="Inactive",0,IF(ISNUMBER(F102)*ISNUMBER(E102),IF(F102&gt;E102,F102-E102,0),0))</f>
        <v>0</v>
      </c>
      <c r="J102" s="33" t="n">
        <f aca="false">IF(L102="Inactive",0,IF(ISNUMBER(D102)*ISNUMBER(G102),IF(D102&gt;G102,D102-G102,0),0))</f>
        <v>0</v>
      </c>
      <c r="K102" s="31" t="n">
        <f aca="false">IF(L102="Inactive",0,IF(ISNUMBER(E102)*ISNUMBER(F102),IF(E102&gt;F102,E102-F102,0),0))</f>
        <v>0</v>
      </c>
      <c r="L102" s="34" t="s">
        <v>31</v>
      </c>
      <c r="M102" s="44"/>
      <c r="N102" s="44"/>
      <c r="O102" s="89"/>
      <c r="P102" s="90" t="n">
        <f aca="true">IFERROR(COUNTIFS('2. Mercari and Online store'!$A$8:$A$107,A102,'2. Mercari and Online store'!$B$8:$B$107,"&gt;="&amp;(TODAY()-28))/4,0)</f>
        <v>0</v>
      </c>
      <c r="Q102" s="91" t="str">
        <f aca="false">IFERROR(IF(P102=0,"∞",O102/P102),"—")</f>
        <v>∞</v>
      </c>
      <c r="R102" s="29" t="str">
        <f aca="true">IFERROR(IF(OR(P102=0,O102=""),"N/A",TEXT(TODAY()+(IFERROR(O102/P102,0)*7),"DD-MMM-YYYY")),"—")</f>
        <v>N/A</v>
      </c>
      <c r="S102" s="35" t="str">
        <f aca="false">IF(A102="","—",A102&amp;" ("&amp;TEXT(B102,"MM/DD/YYYY")&amp;")")</f>
        <v>—</v>
      </c>
    </row>
    <row r="103" customFormat="false" ht="19.5" hidden="false" customHeight="true" outlineLevel="0" collapsed="false">
      <c r="A103" s="27"/>
      <c r="B103" s="28"/>
      <c r="C103" s="36" t="str">
        <f aca="false">IF(B103="","",TEXT(B103,"mmmm"))</f>
        <v/>
      </c>
      <c r="D103" s="30"/>
      <c r="E103" s="37" t="str">
        <f aca="false">IF(D103="","",D103*'Exchange Rate'!$E$5)</f>
        <v/>
      </c>
      <c r="F103" s="32"/>
      <c r="G103" s="38" t="str">
        <f aca="false">IF(F103="","",F103*'Exchange Rate'!$B$5)</f>
        <v/>
      </c>
      <c r="H103" s="38" t="n">
        <f aca="false">IF(L103="Inactive",0,IF(ISNUMBER(G103)*ISNUMBER(D103),IF(G103&gt;D103,G103-D103,0),0))</f>
        <v>0</v>
      </c>
      <c r="I103" s="37" t="n">
        <f aca="false">IF(L103="Inactive",0,IF(ISNUMBER(F103)*ISNUMBER(E103),IF(F103&gt;E103,F103-E103,0),0))</f>
        <v>0</v>
      </c>
      <c r="J103" s="38" t="n">
        <f aca="false">IF(L103="Inactive",0,IF(ISNUMBER(D103)*ISNUMBER(G103),IF(D103&gt;G103,D103-G103,0),0))</f>
        <v>0</v>
      </c>
      <c r="K103" s="37" t="n">
        <f aca="false">IF(L103="Inactive",0,IF(ISNUMBER(E103)*ISNUMBER(F103),IF(E103&gt;F103,E103-F103,0),0))</f>
        <v>0</v>
      </c>
      <c r="L103" s="34" t="s">
        <v>31</v>
      </c>
      <c r="M103" s="44"/>
      <c r="N103" s="44"/>
      <c r="O103" s="89"/>
      <c r="P103" s="92" t="n">
        <f aca="true">IFERROR(COUNTIFS('2. Mercari and Online store'!$A$8:$A$107,A103,'2. Mercari and Online store'!$B$8:$B$107,"&gt;="&amp;(TODAY()-28))/4,0)</f>
        <v>0</v>
      </c>
      <c r="Q103" s="93" t="str">
        <f aca="false">IFERROR(IF(P103=0,"∞",O103/P103),"—")</f>
        <v>∞</v>
      </c>
      <c r="R103" s="36" t="str">
        <f aca="true">IFERROR(IF(OR(P103=0,O103=""),"N/A",TEXT(TODAY()+(IFERROR(O103/P103,0)*7),"DD-MMM-YYYY")),"—")</f>
        <v>N/A</v>
      </c>
      <c r="S103" s="35" t="str">
        <f aca="false">IF(A103="","—",A103&amp;" ("&amp;TEXT(B103,"MM/DD/YYYY")&amp;")")</f>
        <v>—</v>
      </c>
    </row>
    <row r="104" customFormat="false" ht="19.5" hidden="false" customHeight="true" outlineLevel="0" collapsed="false">
      <c r="A104" s="27"/>
      <c r="B104" s="28"/>
      <c r="C104" s="29" t="str">
        <f aca="false">IF(B104="","",TEXT(B104,"mmmm"))</f>
        <v/>
      </c>
      <c r="D104" s="30"/>
      <c r="E104" s="31" t="str">
        <f aca="false">IF(D104="","",D104*'Exchange Rate'!$E$5)</f>
        <v/>
      </c>
      <c r="F104" s="32"/>
      <c r="G104" s="33" t="str">
        <f aca="false">IF(F104="","",F104*'Exchange Rate'!$B$5)</f>
        <v/>
      </c>
      <c r="H104" s="33" t="n">
        <f aca="false">IF(L104="Inactive",0,IF(ISNUMBER(G104)*ISNUMBER(D104),IF(G104&gt;D104,G104-D104,0),0))</f>
        <v>0</v>
      </c>
      <c r="I104" s="31" t="n">
        <f aca="false">IF(L104="Inactive",0,IF(ISNUMBER(F104)*ISNUMBER(E104),IF(F104&gt;E104,F104-E104,0),0))</f>
        <v>0</v>
      </c>
      <c r="J104" s="33" t="n">
        <f aca="false">IF(L104="Inactive",0,IF(ISNUMBER(D104)*ISNUMBER(G104),IF(D104&gt;G104,D104-G104,0),0))</f>
        <v>0</v>
      </c>
      <c r="K104" s="31" t="n">
        <f aca="false">IF(L104="Inactive",0,IF(ISNUMBER(E104)*ISNUMBER(F104),IF(E104&gt;F104,E104-F104,0),0))</f>
        <v>0</v>
      </c>
      <c r="L104" s="34" t="s">
        <v>31</v>
      </c>
      <c r="M104" s="44"/>
      <c r="N104" s="44"/>
      <c r="O104" s="89"/>
      <c r="P104" s="90" t="n">
        <f aca="true">IFERROR(COUNTIFS('2. Mercari and Online store'!$A$8:$A$107,A104,'2. Mercari and Online store'!$B$8:$B$107,"&gt;="&amp;(TODAY()-28))/4,0)</f>
        <v>0</v>
      </c>
      <c r="Q104" s="91" t="str">
        <f aca="false">IFERROR(IF(P104=0,"∞",O104/P104),"—")</f>
        <v>∞</v>
      </c>
      <c r="R104" s="29" t="str">
        <f aca="true">IFERROR(IF(OR(P104=0,O104=""),"N/A",TEXT(TODAY()+(IFERROR(O104/P104,0)*7),"DD-MMM-YYYY")),"—")</f>
        <v>N/A</v>
      </c>
      <c r="S104" s="35" t="str">
        <f aca="false">IF(A104="","—",A104&amp;" ("&amp;TEXT(B104,"MM/DD/YYYY")&amp;")")</f>
        <v>—</v>
      </c>
    </row>
    <row r="105" customFormat="false" ht="19.5" hidden="false" customHeight="true" outlineLevel="0" collapsed="false">
      <c r="A105" s="27"/>
      <c r="B105" s="28"/>
      <c r="C105" s="36" t="str">
        <f aca="false">IF(B105="","",TEXT(B105,"mmmm"))</f>
        <v/>
      </c>
      <c r="D105" s="30"/>
      <c r="E105" s="37" t="str">
        <f aca="false">IF(D105="","",D105*'Exchange Rate'!$E$5)</f>
        <v/>
      </c>
      <c r="F105" s="32"/>
      <c r="G105" s="38" t="str">
        <f aca="false">IF(F105="","",F105*'Exchange Rate'!$B$5)</f>
        <v/>
      </c>
      <c r="H105" s="38" t="n">
        <f aca="false">IF(L105="Inactive",0,IF(ISNUMBER(G105)*ISNUMBER(D105),IF(G105&gt;D105,G105-D105,0),0))</f>
        <v>0</v>
      </c>
      <c r="I105" s="37" t="n">
        <f aca="false">IF(L105="Inactive",0,IF(ISNUMBER(F105)*ISNUMBER(E105),IF(F105&gt;E105,F105-E105,0),0))</f>
        <v>0</v>
      </c>
      <c r="J105" s="38" t="n">
        <f aca="false">IF(L105="Inactive",0,IF(ISNUMBER(D105)*ISNUMBER(G105),IF(D105&gt;G105,D105-G105,0),0))</f>
        <v>0</v>
      </c>
      <c r="K105" s="37" t="n">
        <f aca="false">IF(L105="Inactive",0,IF(ISNUMBER(E105)*ISNUMBER(F105),IF(E105&gt;F105,E105-F105,0),0))</f>
        <v>0</v>
      </c>
      <c r="L105" s="34" t="s">
        <v>31</v>
      </c>
      <c r="M105" s="44"/>
      <c r="N105" s="44"/>
      <c r="O105" s="89"/>
      <c r="P105" s="92" t="n">
        <f aca="true">IFERROR(COUNTIFS('2. Mercari and Online store'!$A$8:$A$107,A105,'2. Mercari and Online store'!$B$8:$B$107,"&gt;="&amp;(TODAY()-28))/4,0)</f>
        <v>0</v>
      </c>
      <c r="Q105" s="93" t="str">
        <f aca="false">IFERROR(IF(P105=0,"∞",O105/P105),"—")</f>
        <v>∞</v>
      </c>
      <c r="R105" s="36" t="str">
        <f aca="true">IFERROR(IF(OR(P105=0,O105=""),"N/A",TEXT(TODAY()+(IFERROR(O105/P105,0)*7),"DD-MMM-YYYY")),"—")</f>
        <v>N/A</v>
      </c>
      <c r="S105" s="35" t="str">
        <f aca="false">IF(A105="","—",A105&amp;" ("&amp;TEXT(B105,"MM/DD/YYYY")&amp;")")</f>
        <v>—</v>
      </c>
    </row>
    <row r="106" customFormat="false" ht="19.5" hidden="false" customHeight="true" outlineLevel="0" collapsed="false">
      <c r="A106" s="27"/>
      <c r="B106" s="28"/>
      <c r="C106" s="29" t="str">
        <f aca="false">IF(B106="","",TEXT(B106,"mmmm"))</f>
        <v/>
      </c>
      <c r="D106" s="30"/>
      <c r="E106" s="31" t="str">
        <f aca="false">IF(D106="","",D106*'Exchange Rate'!$E$5)</f>
        <v/>
      </c>
      <c r="F106" s="32"/>
      <c r="G106" s="33" t="str">
        <f aca="false">IF(F106="","",F106*'Exchange Rate'!$B$5)</f>
        <v/>
      </c>
      <c r="H106" s="33" t="n">
        <f aca="false">IF(L106="Inactive",0,IF(ISNUMBER(G106)*ISNUMBER(D106),IF(G106&gt;D106,G106-D106,0),0))</f>
        <v>0</v>
      </c>
      <c r="I106" s="31" t="n">
        <f aca="false">IF(L106="Inactive",0,IF(ISNUMBER(F106)*ISNUMBER(E106),IF(F106&gt;E106,F106-E106,0),0))</f>
        <v>0</v>
      </c>
      <c r="J106" s="33" t="n">
        <f aca="false">IF(L106="Inactive",0,IF(ISNUMBER(D106)*ISNUMBER(G106),IF(D106&gt;G106,D106-G106,0),0))</f>
        <v>0</v>
      </c>
      <c r="K106" s="31" t="n">
        <f aca="false">IF(L106="Inactive",0,IF(ISNUMBER(E106)*ISNUMBER(F106),IF(E106&gt;F106,E106-F106,0),0))</f>
        <v>0</v>
      </c>
      <c r="L106" s="34" t="s">
        <v>31</v>
      </c>
      <c r="M106" s="44"/>
      <c r="N106" s="44"/>
      <c r="O106" s="89"/>
      <c r="P106" s="90" t="n">
        <f aca="true">IFERROR(COUNTIFS('2. Mercari and Online store'!$A$8:$A$107,A106,'2. Mercari and Online store'!$B$8:$B$107,"&gt;="&amp;(TODAY()-28))/4,0)</f>
        <v>0</v>
      </c>
      <c r="Q106" s="91" t="str">
        <f aca="false">IFERROR(IF(P106=0,"∞",O106/P106),"—")</f>
        <v>∞</v>
      </c>
      <c r="R106" s="29" t="str">
        <f aca="true">IFERROR(IF(OR(P106=0,O106=""),"N/A",TEXT(TODAY()+(IFERROR(O106/P106,0)*7),"DD-MMM-YYYY")),"—")</f>
        <v>N/A</v>
      </c>
      <c r="S106" s="35" t="str">
        <f aca="false">IF(A106="","—",A106&amp;" ("&amp;TEXT(B106,"MM/DD/YYYY")&amp;")")</f>
        <v>—</v>
      </c>
    </row>
    <row r="107" customFormat="false" ht="19.5" hidden="false" customHeight="true" outlineLevel="0" collapsed="false">
      <c r="A107" s="27"/>
      <c r="B107" s="28"/>
      <c r="C107" s="36" t="str">
        <f aca="false">IF(B107="","",TEXT(B107,"mmmm"))</f>
        <v/>
      </c>
      <c r="D107" s="30"/>
      <c r="E107" s="37" t="str">
        <f aca="false">IF(D107="","",D107*'Exchange Rate'!$E$5)</f>
        <v/>
      </c>
      <c r="F107" s="32"/>
      <c r="G107" s="38" t="str">
        <f aca="false">IF(F107="","",F107*'Exchange Rate'!$B$5)</f>
        <v/>
      </c>
      <c r="H107" s="38" t="n">
        <f aca="false">IF(L107="Inactive",0,IF(ISNUMBER(G107)*ISNUMBER(D107),IF(G107&gt;D107,G107-D107,0),0))</f>
        <v>0</v>
      </c>
      <c r="I107" s="37" t="n">
        <f aca="false">IF(L107="Inactive",0,IF(ISNUMBER(F107)*ISNUMBER(E107),IF(F107&gt;E107,F107-E107,0),0))</f>
        <v>0</v>
      </c>
      <c r="J107" s="38" t="n">
        <f aca="false">IF(L107="Inactive",0,IF(ISNUMBER(D107)*ISNUMBER(G107),IF(D107&gt;G107,D107-G107,0),0))</f>
        <v>0</v>
      </c>
      <c r="K107" s="37" t="n">
        <f aca="false">IF(L107="Inactive",0,IF(ISNUMBER(E107)*ISNUMBER(F107),IF(E107&gt;F107,E107-F107,0),0))</f>
        <v>0</v>
      </c>
      <c r="L107" s="34" t="s">
        <v>31</v>
      </c>
      <c r="M107" s="44"/>
      <c r="N107" s="44"/>
      <c r="O107" s="89"/>
      <c r="P107" s="92" t="n">
        <f aca="true">IFERROR(COUNTIFS('2. Mercari and Online store'!$A$8:$A$107,A107,'2. Mercari and Online store'!$B$8:$B$107,"&gt;="&amp;(TODAY()-28))/4,0)</f>
        <v>0</v>
      </c>
      <c r="Q107" s="93" t="str">
        <f aca="false">IFERROR(IF(P107=0,"∞",O107/P107),"—")</f>
        <v>∞</v>
      </c>
      <c r="R107" s="36" t="str">
        <f aca="true">IFERROR(IF(OR(P107=0,O107=""),"N/A",TEXT(TODAY()+(IFERROR(O107/P107,0)*7),"DD-MMM-YYYY")),"—")</f>
        <v>N/A</v>
      </c>
      <c r="S107" s="35" t="str">
        <f aca="false">IF(A107="","—",A107&amp;" ("&amp;TEXT(B107,"MM/DD/YYYY")&amp;")")</f>
        <v>—</v>
      </c>
    </row>
    <row r="108" customFormat="false" ht="25.5" hidden="false" customHeight="true" outlineLevel="0" collapsed="false">
      <c r="A108" s="39" t="s">
        <v>32</v>
      </c>
      <c r="B108" s="39"/>
      <c r="C108" s="39"/>
      <c r="D108" s="40" t="n">
        <f aca="false">SUM(D8:D107)</f>
        <v>0</v>
      </c>
      <c r="E108" s="40" t="n">
        <f aca="false">SUM(E8:E107)</f>
        <v>0</v>
      </c>
      <c r="F108" s="40" t="n">
        <f aca="false">SUM(F8:F107)</f>
        <v>0</v>
      </c>
      <c r="G108" s="40" t="n">
        <f aca="false">SUM(G8:G107)</f>
        <v>0</v>
      </c>
      <c r="H108" s="40" t="n">
        <f aca="false">SUM(H8:H107)</f>
        <v>0</v>
      </c>
      <c r="I108" s="40" t="n">
        <f aca="false">SUM(I8:I107)</f>
        <v>0</v>
      </c>
      <c r="J108" s="40" t="n">
        <f aca="false">SUM(J8:J107)</f>
        <v>0</v>
      </c>
      <c r="K108" s="40" t="n">
        <f aca="false">SUM(K8:K107)</f>
        <v>0</v>
      </c>
      <c r="L108" s="40" t="n">
        <f aca="false">SUM(L8:L107)</f>
        <v>0</v>
      </c>
      <c r="M108" s="40" t="n">
        <f aca="false">SUM(M8:M107)</f>
        <v>0</v>
      </c>
      <c r="N108" s="40" t="n">
        <f aca="false">SUM(N8:N107)</f>
        <v>0</v>
      </c>
      <c r="O108" s="40" t="n">
        <f aca="false">SUM(O8:O107)</f>
        <v>0</v>
      </c>
      <c r="P108" s="40" t="n">
        <f aca="false">SUM(P8:P107)</f>
        <v>0</v>
      </c>
      <c r="Q108" s="40" t="n">
        <f aca="false">SUM(Q8:Q107)</f>
        <v>0</v>
      </c>
      <c r="R108" s="40" t="n">
        <f aca="false">SUM(R8:R107)</f>
        <v>0</v>
      </c>
    </row>
    <row r="109" customFormat="false" ht="9.75" hidden="false" customHeight="true" outlineLevel="0" collapsed="false"/>
    <row r="110" customFormat="false" ht="19.5" hidden="false" customHeight="true" outlineLevel="0" collapsed="false">
      <c r="A110" s="41" t="s">
        <v>33</v>
      </c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customFormat="false" ht="18" hidden="false" customHeight="true" outlineLevel="0" collapsed="false">
      <c r="A111" s="42" t="s">
        <v>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</row>
    <row r="112" customFormat="false" ht="30" hidden="false" customHeight="true" outlineLevel="0" collapsed="false">
      <c r="A112" s="43" t="s">
        <v>35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</row>
    <row r="113" customFormat="false" ht="18" hidden="false" customHeight="true" outlineLevel="0" collapsed="false">
      <c r="A113" s="42" t="s">
        <v>36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</row>
    <row r="114" customFormat="false" ht="30" hidden="false" customHeight="true" outlineLevel="0" collapsed="false">
      <c r="A114" s="43" t="s">
        <v>37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</row>
    <row r="115" customFormat="false" ht="18" hidden="false" customHeight="true" outlineLevel="0" collapsed="false">
      <c r="A115" s="42" t="s">
        <v>38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</row>
    <row r="116" customFormat="false" ht="30" hidden="false" customHeight="true" outlineLevel="0" collapsed="false">
      <c r="A116" s="43" t="s">
        <v>39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</row>
    <row r="117" customFormat="false" ht="18" hidden="false" customHeight="true" outlineLevel="0" collapsed="false">
      <c r="A117" s="42" t="s">
        <v>40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</row>
    <row r="118" customFormat="false" ht="30" hidden="false" customHeight="true" outlineLevel="0" collapsed="false">
      <c r="A118" s="43" t="s">
        <v>41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</row>
    <row r="119" customFormat="false" ht="18" hidden="false" customHeight="true" outlineLevel="0" collapsed="false">
      <c r="A119" s="42" t="s">
        <v>42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</row>
    <row r="120" customFormat="false" ht="30" hidden="false" customHeight="true" outlineLevel="0" collapsed="false">
      <c r="A120" s="43" t="s">
        <v>43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</row>
    <row r="121" customFormat="false" ht="18" hidden="false" customHeight="true" outlineLevel="0" collapsed="false">
      <c r="A121" s="42" t="s">
        <v>111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</row>
    <row r="122" customFormat="false" ht="30" hidden="false" customHeight="true" outlineLevel="0" collapsed="false">
      <c r="A122" s="43" t="s">
        <v>112</v>
      </c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</row>
  </sheetData>
  <mergeCells count="16">
    <mergeCell ref="A1:R3"/>
    <mergeCell ref="A4:R4"/>
    <mergeCell ref="A108:C108"/>
    <mergeCell ref="A110:R110"/>
    <mergeCell ref="A111:R111"/>
    <mergeCell ref="A112:R112"/>
    <mergeCell ref="A113:R113"/>
    <mergeCell ref="A114:R114"/>
    <mergeCell ref="A115:R115"/>
    <mergeCell ref="A116:R116"/>
    <mergeCell ref="A117:R117"/>
    <mergeCell ref="A118:R118"/>
    <mergeCell ref="A119:R119"/>
    <mergeCell ref="A120:R120"/>
    <mergeCell ref="A121:R121"/>
    <mergeCell ref="A122:R122"/>
  </mergeCells>
  <conditionalFormatting sqref="L8:L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</conditionalFormatting>
  <dataValidations count="2">
    <dataValidation allowBlank="false" errorStyle="stop" operator="between" showDropDown="false" showErrorMessage="false" showInputMessage="false" sqref="L8:L107" type="list">
      <formula1>"Active,Inactive"</formula1>
      <formula2>0</formula2>
    </dataValidation>
    <dataValidation allowBlank="false" errorStyle="stop" operator="between" prompt="Pick which match to view (1=first)" promptTitle="Match Selector" showDropDown="false" showErrorMessage="false" showInputMessage="false" sqref="F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5" hidden="false" customHeight="true" outlineLevel="0" collapsed="false">
      <c r="A1" s="94" t="s">
        <v>113</v>
      </c>
    </row>
    <row r="2" customFormat="false" ht="36" hidden="false" customHeight="true" outlineLevel="0" collapsed="false">
      <c r="A2" s="94"/>
    </row>
    <row r="3" customFormat="false" ht="15" hidden="false" customHeight="true" outlineLevel="0" collapsed="false">
      <c r="A3" s="94"/>
    </row>
    <row r="4" customFormat="false" ht="15" hidden="false" customHeight="true" outlineLevel="0" collapsed="false"/>
    <row r="5" customFormat="false" ht="21.75" hidden="false" customHeight="true" outlineLevel="0" collapsed="false">
      <c r="A5" s="95" t="s">
        <v>114</v>
      </c>
    </row>
    <row r="6" customFormat="false" ht="18" hidden="false" customHeight="true" outlineLevel="0" collapsed="false">
      <c r="A6" s="96" t="s">
        <v>115</v>
      </c>
    </row>
    <row r="7" customFormat="false" ht="18" hidden="false" customHeight="true" outlineLevel="0" collapsed="false">
      <c r="A7" s="96" t="s">
        <v>116</v>
      </c>
    </row>
    <row r="8" customFormat="false" ht="15" hidden="false" customHeight="true" outlineLevel="0" collapsed="false">
      <c r="A8" s="97" t="s">
        <v>117</v>
      </c>
    </row>
    <row r="9" customFormat="false" ht="15" hidden="false" customHeight="true" outlineLevel="0" collapsed="false">
      <c r="A9" s="97" t="s">
        <v>118</v>
      </c>
    </row>
    <row r="10" customFormat="false" ht="15" hidden="false" customHeight="true" outlineLevel="0" collapsed="false">
      <c r="A10" s="97" t="s">
        <v>119</v>
      </c>
    </row>
    <row r="11" customFormat="false" ht="15" hidden="false" customHeight="true" outlineLevel="0" collapsed="false">
      <c r="A11" s="97" t="s">
        <v>120</v>
      </c>
    </row>
    <row r="12" customFormat="false" ht="15" hidden="false" customHeight="true" outlineLevel="0" collapsed="false">
      <c r="A12" s="97" t="s">
        <v>118</v>
      </c>
    </row>
    <row r="13" customFormat="false" ht="15" hidden="false" customHeight="true" outlineLevel="0" collapsed="false">
      <c r="A13" s="97" t="s">
        <v>121</v>
      </c>
    </row>
    <row r="14" customFormat="false" ht="15" hidden="false" customHeight="true" outlineLevel="0" collapsed="false">
      <c r="A14" s="97" t="s">
        <v>122</v>
      </c>
    </row>
    <row r="15" customFormat="false" ht="15" hidden="false" customHeight="true" outlineLevel="0" collapsed="false">
      <c r="A15" s="97" t="s">
        <v>123</v>
      </c>
    </row>
    <row r="16" customFormat="false" ht="15" hidden="false" customHeight="true" outlineLevel="0" collapsed="false">
      <c r="A16" s="97" t="s">
        <v>124</v>
      </c>
    </row>
    <row r="17" customFormat="false" ht="15" hidden="false" customHeight="true" outlineLevel="0" collapsed="false">
      <c r="A17" s="97" t="s">
        <v>125</v>
      </c>
    </row>
    <row r="18" customFormat="false" ht="15" hidden="false" customHeight="true" outlineLevel="0" collapsed="false">
      <c r="A18" s="97" t="s">
        <v>126</v>
      </c>
    </row>
    <row r="19" customFormat="false" ht="15" hidden="false" customHeight="true" outlineLevel="0" collapsed="false">
      <c r="A19" s="97" t="s">
        <v>125</v>
      </c>
    </row>
    <row r="20" customFormat="false" ht="15" hidden="false" customHeight="true" outlineLevel="0" collapsed="false">
      <c r="A20" s="97" t="s">
        <v>127</v>
      </c>
    </row>
    <row r="21" customFormat="false" ht="15" hidden="false" customHeight="true" outlineLevel="0" collapsed="false">
      <c r="A21" s="97" t="s">
        <v>128</v>
      </c>
    </row>
    <row r="22" customFormat="false" ht="15" hidden="false" customHeight="true" outlineLevel="0" collapsed="false">
      <c r="A22" s="97" t="s">
        <v>129</v>
      </c>
    </row>
    <row r="23" customFormat="false" ht="15" hidden="false" customHeight="true" outlineLevel="0" collapsed="false">
      <c r="A23" s="97" t="s">
        <v>130</v>
      </c>
    </row>
    <row r="24" customFormat="false" ht="15" hidden="false" customHeight="true" outlineLevel="0" collapsed="false">
      <c r="A24" s="97" t="s">
        <v>131</v>
      </c>
    </row>
    <row r="25" customFormat="false" ht="15" hidden="false" customHeight="true" outlineLevel="0" collapsed="false">
      <c r="A25" s="97" t="s">
        <v>125</v>
      </c>
    </row>
    <row r="26" customFormat="false" ht="15" hidden="false" customHeight="true" outlineLevel="0" collapsed="false">
      <c r="A26" s="97" t="s">
        <v>132</v>
      </c>
    </row>
    <row r="27" customFormat="false" ht="15" hidden="false" customHeight="true" outlineLevel="0" collapsed="false">
      <c r="A27" s="97" t="s">
        <v>133</v>
      </c>
    </row>
    <row r="28" customFormat="false" ht="15" hidden="false" customHeight="true" outlineLevel="0" collapsed="false">
      <c r="A28" s="97" t="s">
        <v>134</v>
      </c>
    </row>
    <row r="29" customFormat="false" ht="15" hidden="false" customHeight="true" outlineLevel="0" collapsed="false">
      <c r="A29" s="97" t="s">
        <v>135</v>
      </c>
    </row>
    <row r="30" customFormat="false" ht="15" hidden="false" customHeight="true" outlineLevel="0" collapsed="false">
      <c r="A30" s="97" t="s">
        <v>125</v>
      </c>
    </row>
    <row r="31" customFormat="false" ht="15" hidden="false" customHeight="true" outlineLevel="0" collapsed="false">
      <c r="A31" s="97" t="s">
        <v>136</v>
      </c>
    </row>
    <row r="32" customFormat="false" ht="15" hidden="false" customHeight="true" outlineLevel="0" collapsed="false">
      <c r="A32" s="97" t="s">
        <v>137</v>
      </c>
    </row>
    <row r="33" customFormat="false" ht="15" hidden="false" customHeight="true" outlineLevel="0" collapsed="false">
      <c r="A33" s="97" t="s">
        <v>138</v>
      </c>
    </row>
    <row r="34" customFormat="false" ht="15" hidden="false" customHeight="true" outlineLevel="0" collapsed="false">
      <c r="A34" s="97" t="s">
        <v>125</v>
      </c>
    </row>
    <row r="35" customFormat="false" ht="15" hidden="false" customHeight="true" outlineLevel="0" collapsed="false">
      <c r="A35" s="97" t="s">
        <v>139</v>
      </c>
    </row>
    <row r="36" customFormat="false" ht="15" hidden="false" customHeight="true" outlineLevel="0" collapsed="false">
      <c r="A36" s="97" t="s">
        <v>140</v>
      </c>
    </row>
    <row r="37" customFormat="false" ht="15" hidden="false" customHeight="true" outlineLevel="0" collapsed="false">
      <c r="A37" s="97" t="s">
        <v>141</v>
      </c>
    </row>
    <row r="38" customFormat="false" ht="15" hidden="false" customHeight="true" outlineLevel="0" collapsed="false">
      <c r="A38" s="97" t="s">
        <v>142</v>
      </c>
    </row>
    <row r="39" customFormat="false" ht="15" hidden="false" customHeight="true" outlineLevel="0" collapsed="false">
      <c r="A39" s="97" t="s">
        <v>143</v>
      </c>
    </row>
    <row r="40" customFormat="false" ht="15" hidden="false" customHeight="true" outlineLevel="0" collapsed="false">
      <c r="A40" s="97" t="s">
        <v>144</v>
      </c>
    </row>
    <row r="41" customFormat="false" ht="15" hidden="false" customHeight="true" outlineLevel="0" collapsed="false">
      <c r="A41" s="97" t="s">
        <v>145</v>
      </c>
    </row>
    <row r="42" customFormat="false" ht="15" hidden="false" customHeight="true" outlineLevel="0" collapsed="false">
      <c r="A42" s="97" t="s">
        <v>146</v>
      </c>
    </row>
    <row r="43" customFormat="false" ht="15" hidden="false" customHeight="true" outlineLevel="0" collapsed="false">
      <c r="A43" s="97" t="s">
        <v>147</v>
      </c>
    </row>
    <row r="44" customFormat="false" ht="15" hidden="false" customHeight="true" outlineLevel="0" collapsed="false">
      <c r="A44" s="97" t="s">
        <v>148</v>
      </c>
    </row>
    <row r="45" customFormat="false" ht="15" hidden="false" customHeight="true" outlineLevel="0" collapsed="false">
      <c r="A45" s="97" t="s">
        <v>149</v>
      </c>
    </row>
    <row r="46" customFormat="false" ht="15" hidden="false" customHeight="true" outlineLevel="0" collapsed="false">
      <c r="A46" s="97" t="s">
        <v>150</v>
      </c>
    </row>
    <row r="47" customFormat="false" ht="15" hidden="false" customHeight="true" outlineLevel="0" collapsed="false">
      <c r="A47" s="97" t="s">
        <v>151</v>
      </c>
    </row>
    <row r="48" customFormat="false" ht="15" hidden="false" customHeight="true" outlineLevel="0" collapsed="false">
      <c r="A48" s="97" t="s">
        <v>152</v>
      </c>
    </row>
    <row r="49" customFormat="false" ht="15" hidden="false" customHeight="true" outlineLevel="0" collapsed="false">
      <c r="A49" s="97" t="s">
        <v>153</v>
      </c>
    </row>
    <row r="50" customFormat="false" ht="15" hidden="false" customHeight="true" outlineLevel="0" collapsed="false">
      <c r="A50" s="97" t="s">
        <v>154</v>
      </c>
    </row>
    <row r="51" customFormat="false" ht="15" hidden="false" customHeight="true" outlineLevel="0" collapsed="false">
      <c r="A51" s="97" t="s">
        <v>155</v>
      </c>
    </row>
    <row r="52" customFormat="false" ht="15" hidden="false" customHeight="true" outlineLevel="0" collapsed="false">
      <c r="A52" s="97" t="s">
        <v>156</v>
      </c>
    </row>
    <row r="53" customFormat="false" ht="15" hidden="false" customHeight="true" outlineLevel="0" collapsed="false">
      <c r="A53" s="97" t="s">
        <v>157</v>
      </c>
    </row>
    <row r="54" customFormat="false" ht="15" hidden="false" customHeight="true" outlineLevel="0" collapsed="false">
      <c r="A54" s="97" t="s">
        <v>158</v>
      </c>
    </row>
    <row r="55" customFormat="false" ht="15" hidden="false" customHeight="true" outlineLevel="0" collapsed="false">
      <c r="A55" s="97" t="s">
        <v>159</v>
      </c>
    </row>
    <row r="56" customFormat="false" ht="15" hidden="false" customHeight="true" outlineLevel="0" collapsed="false">
      <c r="A56" s="97" t="s">
        <v>160</v>
      </c>
    </row>
    <row r="57" customFormat="false" ht="15" hidden="false" customHeight="true" outlineLevel="0" collapsed="false">
      <c r="A57" s="97" t="s">
        <v>161</v>
      </c>
    </row>
    <row r="58" customFormat="false" ht="15" hidden="false" customHeight="true" outlineLevel="0" collapsed="false">
      <c r="A58" s="97" t="s">
        <v>162</v>
      </c>
    </row>
    <row r="59" customFormat="false" ht="15" hidden="false" customHeight="true" outlineLevel="0" collapsed="false">
      <c r="A59" s="97" t="s">
        <v>163</v>
      </c>
    </row>
    <row r="60" customFormat="false" ht="15" hidden="false" customHeight="true" outlineLevel="0" collapsed="false">
      <c r="A60" s="97" t="s">
        <v>135</v>
      </c>
    </row>
    <row r="61" customFormat="false" ht="15" hidden="false" customHeight="true" outlineLevel="0" collapsed="false">
      <c r="A61" s="97" t="s">
        <v>164</v>
      </c>
    </row>
    <row r="62" customFormat="false" ht="15" hidden="false" customHeight="true" outlineLevel="0" collapsed="false"/>
    <row r="63" customFormat="false" ht="21.75" hidden="false" customHeight="true" outlineLevel="0" collapsed="false">
      <c r="A63" s="95" t="s">
        <v>165</v>
      </c>
    </row>
    <row r="64" customFormat="false" ht="18" hidden="false" customHeight="true" outlineLevel="0" collapsed="false">
      <c r="A64" s="96" t="s">
        <v>166</v>
      </c>
    </row>
    <row r="65" customFormat="false" ht="15" hidden="false" customHeight="true" outlineLevel="0" collapsed="false">
      <c r="A65" s="97" t="s">
        <v>167</v>
      </c>
    </row>
    <row r="66" customFormat="false" ht="15" hidden="false" customHeight="true" outlineLevel="0" collapsed="false">
      <c r="A66" s="97" t="s">
        <v>118</v>
      </c>
    </row>
    <row r="67" customFormat="false" ht="15" hidden="false" customHeight="true" outlineLevel="0" collapsed="false">
      <c r="A67" s="97" t="s">
        <v>168</v>
      </c>
    </row>
    <row r="68" customFormat="false" ht="15" hidden="false" customHeight="true" outlineLevel="0" collapsed="false">
      <c r="A68" s="97" t="s">
        <v>169</v>
      </c>
    </row>
    <row r="69" customFormat="false" ht="15" hidden="false" customHeight="true" outlineLevel="0" collapsed="false">
      <c r="A69" s="97" t="s">
        <v>118</v>
      </c>
    </row>
    <row r="70" customFormat="false" ht="15" hidden="false" customHeight="true" outlineLevel="0" collapsed="false">
      <c r="A70" s="97" t="s">
        <v>123</v>
      </c>
    </row>
    <row r="71" customFormat="false" ht="15" hidden="false" customHeight="true" outlineLevel="0" collapsed="false">
      <c r="A71" s="97" t="s">
        <v>170</v>
      </c>
    </row>
    <row r="72" customFormat="false" ht="15" hidden="false" customHeight="true" outlineLevel="0" collapsed="false">
      <c r="A72" s="97" t="s">
        <v>171</v>
      </c>
    </row>
    <row r="73" customFormat="false" ht="15" hidden="false" customHeight="true" outlineLevel="0" collapsed="false">
      <c r="A73" s="97" t="s">
        <v>172</v>
      </c>
    </row>
    <row r="74" customFormat="false" ht="15" hidden="false" customHeight="true" outlineLevel="0" collapsed="false">
      <c r="A74" s="97" t="s">
        <v>173</v>
      </c>
    </row>
    <row r="75" customFormat="false" ht="15" hidden="false" customHeight="true" outlineLevel="0" collapsed="false">
      <c r="A75" s="97" t="s">
        <v>174</v>
      </c>
    </row>
    <row r="76" customFormat="false" ht="15" hidden="false" customHeight="true" outlineLevel="0" collapsed="false">
      <c r="A76" s="97" t="s">
        <v>125</v>
      </c>
    </row>
    <row r="77" customFormat="false" ht="15" hidden="false" customHeight="true" outlineLevel="0" collapsed="false">
      <c r="A77" s="97" t="s">
        <v>175</v>
      </c>
    </row>
    <row r="78" customFormat="false" ht="15" hidden="false" customHeight="true" outlineLevel="0" collapsed="false">
      <c r="A78" s="97" t="s">
        <v>176</v>
      </c>
    </row>
    <row r="79" customFormat="false" ht="15" hidden="false" customHeight="true" outlineLevel="0" collapsed="false">
      <c r="A79" s="97" t="s">
        <v>125</v>
      </c>
    </row>
    <row r="80" customFormat="false" ht="15" hidden="false" customHeight="true" outlineLevel="0" collapsed="false">
      <c r="A80" s="97" t="s">
        <v>177</v>
      </c>
    </row>
    <row r="81" customFormat="false" ht="15" hidden="false" customHeight="true" outlineLevel="0" collapsed="false">
      <c r="A81" s="97" t="s">
        <v>178</v>
      </c>
    </row>
    <row r="82" customFormat="false" ht="15" hidden="false" customHeight="true" outlineLevel="0" collapsed="false">
      <c r="A82" s="97" t="s">
        <v>179</v>
      </c>
    </row>
    <row r="83" customFormat="false" ht="15" hidden="false" customHeight="true" outlineLevel="0" collapsed="false">
      <c r="A83" s="97" t="s">
        <v>125</v>
      </c>
    </row>
    <row r="84" customFormat="false" ht="15" hidden="false" customHeight="true" outlineLevel="0" collapsed="false">
      <c r="A84" s="97" t="s">
        <v>180</v>
      </c>
    </row>
    <row r="85" customFormat="false" ht="15" hidden="false" customHeight="true" outlineLevel="0" collapsed="false">
      <c r="A85" s="97" t="s">
        <v>181</v>
      </c>
    </row>
    <row r="86" customFormat="false" ht="15" hidden="false" customHeight="true" outlineLevel="0" collapsed="false">
      <c r="A86" s="97" t="s">
        <v>182</v>
      </c>
    </row>
    <row r="87" customFormat="false" ht="15" hidden="false" customHeight="true" outlineLevel="0" collapsed="false">
      <c r="A87" s="97" t="s">
        <v>183</v>
      </c>
    </row>
    <row r="88" customFormat="false" ht="15" hidden="false" customHeight="true" outlineLevel="0" collapsed="false">
      <c r="A88" s="97" t="s">
        <v>184</v>
      </c>
    </row>
    <row r="89" customFormat="false" ht="15" hidden="false" customHeight="true" outlineLevel="0" collapsed="false">
      <c r="A89" s="97" t="s">
        <v>185</v>
      </c>
    </row>
    <row r="90" customFormat="false" ht="15" hidden="false" customHeight="true" outlineLevel="0" collapsed="false">
      <c r="A90" s="97" t="s">
        <v>186</v>
      </c>
    </row>
    <row r="91" customFormat="false" ht="15" hidden="false" customHeight="true" outlineLevel="0" collapsed="false">
      <c r="A91" s="97" t="s">
        <v>187</v>
      </c>
    </row>
    <row r="92" customFormat="false" ht="15" hidden="false" customHeight="true" outlineLevel="0" collapsed="false">
      <c r="A92" s="97" t="s">
        <v>188</v>
      </c>
    </row>
    <row r="93" customFormat="false" ht="15" hidden="false" customHeight="true" outlineLevel="0" collapsed="false">
      <c r="A93" s="97" t="s">
        <v>189</v>
      </c>
    </row>
    <row r="94" customFormat="false" ht="15" hidden="false" customHeight="true" outlineLevel="0" collapsed="false">
      <c r="A94" s="97" t="s">
        <v>190</v>
      </c>
    </row>
    <row r="95" customFormat="false" ht="15" hidden="false" customHeight="true" outlineLevel="0" collapsed="false">
      <c r="A95" s="97" t="s">
        <v>191</v>
      </c>
    </row>
    <row r="96" customFormat="false" ht="15" hidden="false" customHeight="true" outlineLevel="0" collapsed="false">
      <c r="A96" s="97" t="s">
        <v>158</v>
      </c>
    </row>
    <row r="97" customFormat="false" ht="15" hidden="false" customHeight="true" outlineLevel="0" collapsed="false">
      <c r="A97" s="97" t="s">
        <v>192</v>
      </c>
    </row>
    <row r="98" customFormat="false" ht="15" hidden="false" customHeight="true" outlineLevel="0" collapsed="false">
      <c r="A98" s="97" t="s">
        <v>125</v>
      </c>
    </row>
    <row r="99" customFormat="false" ht="15" hidden="false" customHeight="true" outlineLevel="0" collapsed="false">
      <c r="A99" s="97" t="s">
        <v>193</v>
      </c>
    </row>
    <row r="100" customFormat="false" ht="15" hidden="false" customHeight="true" outlineLevel="0" collapsed="false">
      <c r="A100" s="97" t="s">
        <v>194</v>
      </c>
    </row>
    <row r="101" customFormat="false" ht="15" hidden="false" customHeight="true" outlineLevel="0" collapsed="false">
      <c r="A101" s="97" t="s">
        <v>195</v>
      </c>
    </row>
    <row r="102" customFormat="false" ht="15" hidden="false" customHeight="true" outlineLevel="0" collapsed="false">
      <c r="A102" s="97" t="s">
        <v>164</v>
      </c>
    </row>
    <row r="103" customFormat="false" ht="15" hidden="false" customHeight="true" outlineLevel="0" collapsed="false"/>
    <row r="104" customFormat="false" ht="21.75" hidden="false" customHeight="true" outlineLevel="0" collapsed="false">
      <c r="A104" s="95" t="s">
        <v>196</v>
      </c>
    </row>
    <row r="105" customFormat="false" ht="18" hidden="false" customHeight="true" outlineLevel="0" collapsed="false">
      <c r="A105" s="96" t="s">
        <v>197</v>
      </c>
    </row>
    <row r="106" customFormat="false" ht="15" hidden="false" customHeight="true" outlineLevel="0" collapsed="false">
      <c r="A106" s="97" t="s">
        <v>198</v>
      </c>
    </row>
    <row r="107" customFormat="false" ht="15" hidden="false" customHeight="true" outlineLevel="0" collapsed="false">
      <c r="A107" s="97" t="s">
        <v>199</v>
      </c>
    </row>
    <row r="108" customFormat="false" ht="15" hidden="false" customHeight="true" outlineLevel="0" collapsed="false">
      <c r="A108" s="97" t="s">
        <v>200</v>
      </c>
    </row>
    <row r="109" customFormat="false" ht="15" hidden="false" customHeight="true" outlineLevel="0" collapsed="false">
      <c r="A109" s="97" t="s">
        <v>125</v>
      </c>
    </row>
    <row r="110" customFormat="false" ht="15" hidden="false" customHeight="true" outlineLevel="0" collapsed="false">
      <c r="A110" s="97" t="s">
        <v>201</v>
      </c>
    </row>
    <row r="111" customFormat="false" ht="15" hidden="false" customHeight="true" outlineLevel="0" collapsed="false">
      <c r="A111" s="97" t="s">
        <v>202</v>
      </c>
    </row>
    <row r="112" customFormat="false" ht="15" hidden="false" customHeight="true" outlineLevel="0" collapsed="false">
      <c r="A112" s="97" t="s">
        <v>125</v>
      </c>
    </row>
    <row r="113" customFormat="false" ht="15" hidden="false" customHeight="true" outlineLevel="0" collapsed="false">
      <c r="A113" s="97" t="s">
        <v>203</v>
      </c>
    </row>
    <row r="114" customFormat="false" ht="15" hidden="false" customHeight="true" outlineLevel="0" collapsed="false">
      <c r="A114" s="97" t="s">
        <v>204</v>
      </c>
    </row>
    <row r="115" customFormat="false" ht="15" hidden="false" customHeight="true" outlineLevel="0" collapsed="false">
      <c r="A115" s="97" t="s">
        <v>205</v>
      </c>
    </row>
    <row r="116" customFormat="false" ht="15" hidden="false" customHeight="true" outlineLevel="0" collapsed="false">
      <c r="A116" s="97" t="s">
        <v>206</v>
      </c>
    </row>
    <row r="117" customFormat="false" ht="15" hidden="false" customHeight="true" outlineLevel="0" collapsed="false">
      <c r="A117" s="97" t="s">
        <v>125</v>
      </c>
    </row>
    <row r="118" customFormat="false" ht="15" hidden="false" customHeight="true" outlineLevel="0" collapsed="false">
      <c r="A118" s="97" t="s">
        <v>207</v>
      </c>
    </row>
    <row r="119" customFormat="false" ht="15" hidden="false" customHeight="true" outlineLevel="0" collapsed="false">
      <c r="A119" s="97" t="s">
        <v>208</v>
      </c>
    </row>
    <row r="120" customFormat="false" ht="15" hidden="false" customHeight="true" outlineLevel="0" collapsed="false">
      <c r="A120" s="97" t="s">
        <v>209</v>
      </c>
    </row>
    <row r="121" customFormat="false" ht="15" hidden="false" customHeight="true" outlineLevel="0" collapsed="false">
      <c r="A121" s="97" t="s">
        <v>164</v>
      </c>
    </row>
    <row r="122" customFormat="false" ht="15" hidden="false" customHeight="true" outlineLevel="0" collapsed="false"/>
    <row r="123" customFormat="false" ht="21.75" hidden="false" customHeight="true" outlineLevel="0" collapsed="false">
      <c r="A123" s="98" t="s">
        <v>210</v>
      </c>
    </row>
    <row r="124" customFormat="false" ht="18" hidden="false" customHeight="true" outlineLevel="0" collapsed="false">
      <c r="A124" s="96" t="s">
        <v>211</v>
      </c>
    </row>
    <row r="125" customFormat="false" ht="18" hidden="false" customHeight="true" outlineLevel="0" collapsed="false">
      <c r="A125" s="99" t="s">
        <v>212</v>
      </c>
    </row>
    <row r="126" customFormat="false" ht="18" hidden="false" customHeight="true" outlineLevel="0" collapsed="false">
      <c r="A126" s="96" t="s">
        <v>213</v>
      </c>
    </row>
    <row r="127" customFormat="false" ht="18" hidden="false" customHeight="true" outlineLevel="0" collapsed="false">
      <c r="A127" s="99" t="s">
        <v>214</v>
      </c>
    </row>
    <row r="128" customFormat="false" ht="18" hidden="false" customHeight="true" outlineLevel="0" collapsed="false">
      <c r="A128" s="96" t="s">
        <v>215</v>
      </c>
    </row>
    <row r="129" customFormat="false" ht="18" hidden="false" customHeight="true" outlineLevel="0" collapsed="false">
      <c r="A129" s="99" t="s">
        <v>216</v>
      </c>
    </row>
    <row r="130" customFormat="false" ht="18" hidden="false" customHeight="true" outlineLevel="0" collapsed="false">
      <c r="A130" s="96" t="s">
        <v>217</v>
      </c>
    </row>
    <row r="131" customFormat="false" ht="15" hidden="false" customHeight="true" outlineLevel="0" collapsed="false"/>
    <row r="132" customFormat="false" ht="21.75" hidden="false" customHeight="true" outlineLevel="0" collapsed="false">
      <c r="A132" s="98" t="s">
        <v>218</v>
      </c>
    </row>
    <row r="133" customFormat="false" ht="18" hidden="false" customHeight="true" outlineLevel="0" collapsed="false">
      <c r="A133" s="99" t="s">
        <v>219</v>
      </c>
    </row>
    <row r="134" customFormat="false" ht="18" hidden="false" customHeight="true" outlineLevel="0" collapsed="false">
      <c r="A134" s="96" t="s">
        <v>220</v>
      </c>
    </row>
    <row r="135" customFormat="false" ht="18" hidden="false" customHeight="true" outlineLevel="0" collapsed="false">
      <c r="A135" s="99" t="s">
        <v>221</v>
      </c>
    </row>
    <row r="136" customFormat="false" ht="18" hidden="false" customHeight="true" outlineLevel="0" collapsed="false">
      <c r="A136" s="96" t="s">
        <v>222</v>
      </c>
    </row>
    <row r="137" customFormat="false" ht="18" hidden="false" customHeight="true" outlineLevel="0" collapsed="false">
      <c r="A137" s="99" t="s">
        <v>223</v>
      </c>
    </row>
    <row r="138" customFormat="false" ht="15" hidden="false" customHeight="true" outlineLevel="0" collapsed="false"/>
    <row r="139" customFormat="false" ht="21.75" hidden="false" customHeight="true" outlineLevel="0" collapsed="false">
      <c r="A139" s="100" t="s">
        <v>224</v>
      </c>
    </row>
    <row r="140" customFormat="false" ht="18" hidden="false" customHeight="true" outlineLevel="0" collapsed="false">
      <c r="A140" s="101" t="s">
        <v>225</v>
      </c>
    </row>
    <row r="141" customFormat="false" ht="18" hidden="false" customHeight="true" outlineLevel="0" collapsed="false">
      <c r="A141" s="99" t="s">
        <v>226</v>
      </c>
    </row>
    <row r="142" customFormat="false" ht="18" hidden="false" customHeight="true" outlineLevel="0" collapsed="false">
      <c r="A142" s="101" t="s">
        <v>227</v>
      </c>
    </row>
    <row r="143" customFormat="false" ht="18" hidden="false" customHeight="true" outlineLevel="0" collapsed="false">
      <c r="A143" s="99" t="s">
        <v>228</v>
      </c>
    </row>
    <row r="144" customFormat="false" ht="18" hidden="false" customHeight="true" outlineLevel="0" collapsed="false">
      <c r="A144" s="101" t="s">
        <v>229</v>
      </c>
    </row>
    <row r="145" customFormat="false" ht="18" hidden="false" customHeight="true" outlineLevel="0" collapsed="false">
      <c r="A145" s="99" t="s">
        <v>230</v>
      </c>
    </row>
    <row r="146" customFormat="false" ht="15" hidden="false" customHeight="true" outlineLevel="0" collapsed="false"/>
    <row r="147" customFormat="false" ht="21.75" hidden="false" customHeight="true" outlineLevel="0" collapsed="false">
      <c r="A147" s="102" t="s">
        <v>231</v>
      </c>
    </row>
    <row r="148" customFormat="false" ht="18" hidden="false" customHeight="true" outlineLevel="0" collapsed="false">
      <c r="A148" s="103" t="s">
        <v>232</v>
      </c>
    </row>
    <row r="149" customFormat="false" ht="18" hidden="false" customHeight="true" outlineLevel="0" collapsed="false">
      <c r="A149" s="99" t="s">
        <v>233</v>
      </c>
    </row>
    <row r="150" customFormat="false" ht="18" hidden="false" customHeight="true" outlineLevel="0" collapsed="false">
      <c r="A150" s="103" t="s">
        <v>234</v>
      </c>
    </row>
    <row r="151" customFormat="false" ht="18" hidden="false" customHeight="true" outlineLevel="0" collapsed="false">
      <c r="A151" s="99" t="s">
        <v>235</v>
      </c>
    </row>
    <row r="152" customFormat="false" ht="18" hidden="false" customHeight="true" outlineLevel="0" collapsed="false">
      <c r="A152" s="103" t="s">
        <v>236</v>
      </c>
    </row>
    <row r="153" customFormat="false" ht="18" hidden="false" customHeight="true" outlineLevel="0" collapsed="false">
      <c r="A153" s="99" t="s">
        <v>237</v>
      </c>
    </row>
    <row r="154" customFormat="false" ht="15" hidden="false" customHeight="true" outlineLevel="0" collapsed="false"/>
    <row r="155" customFormat="false" ht="21.75" hidden="false" customHeight="true" outlineLevel="0" collapsed="false">
      <c r="A155" s="104" t="s">
        <v>238</v>
      </c>
    </row>
    <row r="156" customFormat="false" ht="18" hidden="false" customHeight="true" outlineLevel="0" collapsed="false">
      <c r="A156" s="96" t="s">
        <v>239</v>
      </c>
    </row>
    <row r="157" customFormat="false" ht="15" hidden="false" customHeight="true" outlineLevel="0" collapsed="false">
      <c r="A157" s="97" t="s">
        <v>240</v>
      </c>
    </row>
    <row r="158" customFormat="false" ht="18" hidden="false" customHeight="true" outlineLevel="0" collapsed="false">
      <c r="A158" s="96" t="s">
        <v>241</v>
      </c>
    </row>
    <row r="159" customFormat="false" ht="15" hidden="false" customHeight="true" outlineLevel="0" collapsed="false">
      <c r="A159" s="97" t="s">
        <v>242</v>
      </c>
    </row>
    <row r="160" customFormat="false" ht="18" hidden="false" customHeight="true" outlineLevel="0" collapsed="false">
      <c r="A160" s="96" t="s">
        <v>243</v>
      </c>
    </row>
    <row r="161" customFormat="false" ht="15" hidden="false" customHeight="true" outlineLevel="0" collapsed="false">
      <c r="A161" s="97" t="s">
        <v>244</v>
      </c>
    </row>
    <row r="162" customFormat="false" ht="18" hidden="false" customHeight="true" outlineLevel="0" collapsed="false">
      <c r="A162" s="96" t="s">
        <v>245</v>
      </c>
    </row>
    <row r="163" customFormat="false" ht="15" hidden="false" customHeight="true" outlineLevel="0" collapsed="false">
      <c r="A163" s="97" t="s">
        <v>246</v>
      </c>
    </row>
    <row r="164" customFormat="false" ht="18" hidden="false" customHeight="true" outlineLevel="0" collapsed="false">
      <c r="A164" s="96" t="s">
        <v>247</v>
      </c>
    </row>
    <row r="165" customFormat="false" ht="15" hidden="false" customHeight="true" outlineLevel="0" collapsed="false">
      <c r="A165" s="97" t="s">
        <v>248</v>
      </c>
    </row>
    <row r="166" customFormat="false" ht="18" hidden="false" customHeight="true" outlineLevel="0" collapsed="false">
      <c r="A166" s="96" t="s">
        <v>249</v>
      </c>
    </row>
    <row r="167" customFormat="false" ht="15" hidden="false" customHeight="true" outlineLevel="0" collapsed="false">
      <c r="A167" s="97" t="s">
        <v>250</v>
      </c>
    </row>
    <row r="168" customFormat="false" ht="18" hidden="false" customHeight="true" outlineLevel="0" collapsed="false">
      <c r="A168" s="96" t="s">
        <v>251</v>
      </c>
    </row>
    <row r="169" customFormat="false" ht="15" hidden="false" customHeight="true" outlineLevel="0" collapsed="false">
      <c r="A169" s="97" t="s">
        <v>252</v>
      </c>
    </row>
    <row r="170" customFormat="false" ht="18" hidden="false" customHeight="true" outlineLevel="0" collapsed="false">
      <c r="A170" s="96" t="s">
        <v>253</v>
      </c>
    </row>
    <row r="171" customFormat="false" ht="15" hidden="false" customHeight="true" outlineLevel="0" collapsed="false">
      <c r="A171" s="97" t="s">
        <v>254</v>
      </c>
    </row>
    <row r="172" customFormat="false" ht="18" hidden="false" customHeight="true" outlineLevel="0" collapsed="false">
      <c r="A172" s="96" t="s">
        <v>255</v>
      </c>
    </row>
    <row r="173" customFormat="false" ht="15" hidden="false" customHeight="true" outlineLevel="0" collapsed="false">
      <c r="A173" s="97" t="s">
        <v>256</v>
      </c>
    </row>
    <row r="174" customFormat="false" ht="18" hidden="false" customHeight="true" outlineLevel="0" collapsed="false">
      <c r="A174" s="96" t="s">
        <v>257</v>
      </c>
    </row>
    <row r="175" customFormat="false" ht="15" hidden="false" customHeight="true" outlineLevel="0" collapsed="false">
      <c r="A175" s="97" t="s">
        <v>258</v>
      </c>
    </row>
    <row r="176" customFormat="false" ht="18" hidden="false" customHeight="true" outlineLevel="0" collapsed="false">
      <c r="A176" s="96" t="s">
        <v>259</v>
      </c>
    </row>
    <row r="177" customFormat="false" ht="15" hidden="false" customHeight="true" outlineLevel="0" collapsed="false">
      <c r="A177" s="97" t="s">
        <v>260</v>
      </c>
    </row>
    <row r="178" customFormat="false" ht="18" hidden="false" customHeight="true" outlineLevel="0" collapsed="false">
      <c r="A178" s="96" t="s">
        <v>261</v>
      </c>
    </row>
    <row r="179" customFormat="false" ht="15" hidden="false" customHeight="true" outlineLevel="0" collapsed="false">
      <c r="A179" s="97" t="s">
        <v>262</v>
      </c>
    </row>
    <row r="180" customFormat="false" ht="18" hidden="false" customHeight="true" outlineLevel="0" collapsed="false">
      <c r="A180" s="96" t="s">
        <v>263</v>
      </c>
    </row>
    <row r="181" customFormat="false" ht="15" hidden="false" customHeight="true" outlineLevel="0" collapsed="false">
      <c r="A181" s="97" t="s">
        <v>264</v>
      </c>
    </row>
    <row r="182" customFormat="false" ht="15" hidden="false" customHeight="true" outlineLevel="0" collapsed="false"/>
    <row r="183" customFormat="false" ht="21.75" hidden="false" customHeight="true" outlineLevel="0" collapsed="false">
      <c r="A183" s="95" t="s">
        <v>265</v>
      </c>
    </row>
    <row r="184" customFormat="false" ht="18" hidden="false" customHeight="true" outlineLevel="0" collapsed="false">
      <c r="A184" s="105" t="s">
        <v>266</v>
      </c>
    </row>
    <row r="185" customFormat="false" ht="18" hidden="false" customHeight="true" outlineLevel="0" collapsed="false">
      <c r="A185" s="99" t="s">
        <v>267</v>
      </c>
    </row>
    <row r="186" customFormat="false" ht="18" hidden="false" customHeight="true" outlineLevel="0" collapsed="false">
      <c r="A186" s="105" t="s">
        <v>268</v>
      </c>
    </row>
    <row r="187" customFormat="false" ht="18" hidden="false" customHeight="true" outlineLevel="0" collapsed="false">
      <c r="A187" s="99" t="s">
        <v>269</v>
      </c>
    </row>
    <row r="188" customFormat="false" ht="18" hidden="false" customHeight="true" outlineLevel="0" collapsed="false">
      <c r="A188" s="105" t="s">
        <v>270</v>
      </c>
    </row>
    <row r="189" customFormat="false" ht="18" hidden="false" customHeight="true" outlineLevel="0" collapsed="false">
      <c r="A189" s="99" t="s">
        <v>271</v>
      </c>
    </row>
    <row r="190" customFormat="false" ht="18" hidden="false" customHeight="true" outlineLevel="0" collapsed="false">
      <c r="A190" s="105" t="s">
        <v>272</v>
      </c>
    </row>
    <row r="191" customFormat="false" ht="18" hidden="false" customHeight="true" outlineLevel="0" collapsed="false">
      <c r="A191" s="99" t="s">
        <v>273</v>
      </c>
    </row>
    <row r="192" customFormat="false" ht="18" hidden="false" customHeight="true" outlineLevel="0" collapsed="false">
      <c r="A192" s="105" t="s">
        <v>274</v>
      </c>
    </row>
    <row r="193" customFormat="false" ht="18" hidden="false" customHeight="true" outlineLevel="0" collapsed="false">
      <c r="A193" s="99" t="s">
        <v>275</v>
      </c>
    </row>
    <row r="194" customFormat="false" ht="18" hidden="false" customHeight="true" outlineLevel="0" collapsed="false">
      <c r="A194" s="105" t="s">
        <v>276</v>
      </c>
    </row>
    <row r="195" customFormat="false" ht="15" hidden="false" customHeight="true" outlineLevel="0" collapsed="false"/>
    <row r="196" customFormat="false" ht="21.75" hidden="false" customHeight="true" outlineLevel="0" collapsed="false">
      <c r="A196" s="100" t="s">
        <v>277</v>
      </c>
    </row>
    <row r="197" customFormat="false" ht="18" hidden="false" customHeight="true" outlineLevel="0" collapsed="false">
      <c r="A197" s="96" t="s">
        <v>278</v>
      </c>
    </row>
    <row r="198" customFormat="false" ht="18" hidden="false" customHeight="true" outlineLevel="0" collapsed="false">
      <c r="A198" s="96" t="s">
        <v>279</v>
      </c>
    </row>
    <row r="199" customFormat="false" ht="15" hidden="false" customHeight="true" outlineLevel="0" collapsed="false"/>
    <row r="200" customFormat="false" ht="15" hidden="false" customHeight="true" outlineLevel="0" collapsed="false">
      <c r="A200" s="97" t="s">
        <v>280</v>
      </c>
    </row>
    <row r="201" customFormat="false" ht="15" hidden="false" customHeight="true" outlineLevel="0" collapsed="false">
      <c r="A201" s="97" t="s">
        <v>281</v>
      </c>
    </row>
    <row r="202" customFormat="false" ht="15" hidden="false" customHeight="true" outlineLevel="0" collapsed="false">
      <c r="A202" s="97" t="s">
        <v>282</v>
      </c>
    </row>
    <row r="203" customFormat="false" ht="15" hidden="false" customHeight="true" outlineLevel="0" collapsed="false">
      <c r="A203" s="97" t="s">
        <v>283</v>
      </c>
    </row>
    <row r="204" customFormat="false" ht="15" hidden="false" customHeight="true" outlineLevel="0" collapsed="false">
      <c r="A204" s="97" t="s">
        <v>284</v>
      </c>
    </row>
    <row r="205" customFormat="false" ht="15" hidden="false" customHeight="true" outlineLevel="0" collapsed="false">
      <c r="A205" s="97" t="s">
        <v>281</v>
      </c>
    </row>
    <row r="206" customFormat="false" ht="15" hidden="false" customHeight="true" outlineLevel="0" collapsed="false">
      <c r="A206" s="97" t="s">
        <v>285</v>
      </c>
    </row>
    <row r="207" customFormat="false" ht="15" hidden="false" customHeight="true" outlineLevel="0" collapsed="false">
      <c r="A207" s="97" t="s">
        <v>286</v>
      </c>
    </row>
    <row r="208" customFormat="false" ht="15" hidden="false" customHeight="true" outlineLevel="0" collapsed="false">
      <c r="A208" s="97" t="s">
        <v>135</v>
      </c>
    </row>
    <row r="209" customFormat="false" ht="15" hidden="false" customHeight="true" outlineLevel="0" collapsed="false">
      <c r="A209" s="97" t="s">
        <v>164</v>
      </c>
    </row>
    <row r="210" customFormat="false" ht="15" hidden="false" customHeight="true" outlineLevel="0" collapsed="false">
      <c r="A210" s="97"/>
    </row>
    <row r="211" customFormat="false" ht="15" hidden="false" customHeight="true" outlineLevel="0" collapsed="false">
      <c r="A211" s="97" t="s">
        <v>287</v>
      </c>
    </row>
    <row r="212" customFormat="false" ht="15" hidden="false" customHeight="true" outlineLevel="0" collapsed="false">
      <c r="A212" s="97" t="s">
        <v>288</v>
      </c>
    </row>
    <row r="213" customFormat="false" ht="15" hidden="false" customHeight="true" outlineLevel="0" collapsed="false">
      <c r="A213" s="97" t="s">
        <v>289</v>
      </c>
    </row>
    <row r="214" customFormat="false" ht="15" hidden="false" customHeight="true" outlineLevel="0" collapsed="false">
      <c r="A214" s="97" t="s">
        <v>290</v>
      </c>
    </row>
    <row r="215" customFormat="false" ht="15" hidden="false" customHeight="true" outlineLevel="0" collapsed="false">
      <c r="A215" s="97" t="s">
        <v>291</v>
      </c>
    </row>
    <row r="216" customFormat="false" ht="15" hidden="false" customHeight="true" outlineLevel="0" collapsed="false">
      <c r="A216" s="97" t="s">
        <v>287</v>
      </c>
    </row>
    <row r="217" customFormat="false" ht="15" hidden="false" customHeight="true" outlineLevel="0" collapsed="false"/>
    <row r="218" customFormat="false" ht="21.75" hidden="false" customHeight="true" outlineLevel="0" collapsed="false">
      <c r="A218" s="104" t="s">
        <v>292</v>
      </c>
    </row>
    <row r="219" customFormat="false" ht="18" hidden="false" customHeight="true" outlineLevel="0" collapsed="false">
      <c r="A219" s="106" t="s">
        <v>293</v>
      </c>
    </row>
    <row r="220" customFormat="false" ht="15" hidden="false" customHeight="true" outlineLevel="0" collapsed="false">
      <c r="A220" s="97" t="s">
        <v>294</v>
      </c>
    </row>
    <row r="221" customFormat="false" ht="18" hidden="false" customHeight="true" outlineLevel="0" collapsed="false">
      <c r="A221" s="106" t="s">
        <v>295</v>
      </c>
    </row>
    <row r="222" customFormat="false" ht="15" hidden="false" customHeight="true" outlineLevel="0" collapsed="false">
      <c r="A222" s="97" t="s">
        <v>296</v>
      </c>
    </row>
    <row r="223" customFormat="false" ht="18" hidden="false" customHeight="true" outlineLevel="0" collapsed="false">
      <c r="A223" s="106" t="s">
        <v>297</v>
      </c>
    </row>
    <row r="224" customFormat="false" ht="15" hidden="false" customHeight="true" outlineLevel="0" collapsed="false">
      <c r="A224" s="97" t="s">
        <v>298</v>
      </c>
    </row>
    <row r="225" customFormat="false" ht="18" hidden="false" customHeight="true" outlineLevel="0" collapsed="false">
      <c r="A225" s="106" t="s">
        <v>299</v>
      </c>
    </row>
    <row r="226" customFormat="false" ht="15" hidden="false" customHeight="true" outlineLevel="0" collapsed="false">
      <c r="A226" s="97" t="s">
        <v>300</v>
      </c>
    </row>
    <row r="227" customFormat="false" ht="18" hidden="false" customHeight="true" outlineLevel="0" collapsed="false">
      <c r="A227" s="106" t="s">
        <v>301</v>
      </c>
    </row>
    <row r="228" customFormat="false" ht="15" hidden="false" customHeight="true" outlineLevel="0" collapsed="false">
      <c r="A228" s="97" t="s">
        <v>302</v>
      </c>
    </row>
    <row r="229" customFormat="false" ht="18" hidden="false" customHeight="true" outlineLevel="0" collapsed="false">
      <c r="A229" s="106" t="s">
        <v>303</v>
      </c>
    </row>
    <row r="230" customFormat="false" ht="15" hidden="false" customHeight="true" outlineLevel="0" collapsed="false">
      <c r="A230" s="97" t="s">
        <v>304</v>
      </c>
    </row>
    <row r="231" customFormat="false" ht="18" hidden="false" customHeight="true" outlineLevel="0" collapsed="false">
      <c r="A231" s="106" t="s">
        <v>305</v>
      </c>
    </row>
    <row r="232" customFormat="false" ht="15" hidden="false" customHeight="true" outlineLevel="0" collapsed="false">
      <c r="A232" s="97" t="s">
        <v>306</v>
      </c>
    </row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</sheetData>
  <mergeCells count="1">
    <mergeCell ref="A1: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2026-05-25T16:17:09Z</dcterms:created>
  <dc:creator>openpyxl</dc:creator>
  <dc:description/>
  <dc:language>en-US</dc:language>
  <cp:lastModifiedBy/>
  <dcterms:modified xsi:type="dcterms:W3CDTF">2026-05-26T00:58:38Z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